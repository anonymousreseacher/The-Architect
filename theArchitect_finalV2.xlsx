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moju3572_colorado_edu/Documents/LAB/Research/ABH/tinyMLP/"/>
    </mc:Choice>
  </mc:AlternateContent>
  <xr:revisionPtr revIDLastSave="8475" documentId="8_{49850FB5-5A49-D84A-8F93-F3E7C36E5A83}" xr6:coauthVersionLast="47" xr6:coauthVersionMax="47" xr10:uidLastSave="{DC141286-3775-6F48-BF5B-8AE498AF417B}"/>
  <bookViews>
    <workbookView xWindow="20" yWindow="660" windowWidth="29400" windowHeight="18460" xr2:uid="{00000000-000D-0000-FFFF-FFFF00000000}"/>
  </bookViews>
  <sheets>
    <sheet name="Architect" sheetId="11" r:id="rId1"/>
    <sheet name="Blueprint" sheetId="59" r:id="rId2"/>
    <sheet name="Blueprint_ep1" sheetId="62" r:id="rId3"/>
    <sheet name="Blueprint_inference" sheetId="63" r:id="rId4"/>
    <sheet name="Dashboard" sheetId="64" r:id="rId5"/>
    <sheet name="tinyDigits" sheetId="15" r:id="rId6"/>
    <sheet name="Helper" sheetId="10" r:id="rId7"/>
  </sheets>
  <definedNames>
    <definedName name="code_layer_0" localSheetId="1">Blueprint!$BR$20</definedName>
    <definedName name="code_layer_0" localSheetId="2">Blueprint_ep1!#REF!</definedName>
    <definedName name="code_layer_0" localSheetId="3">Blueprint_inference!#REF!</definedName>
    <definedName name="code_layer_1" localSheetId="1">Blueprint!$BR$21</definedName>
    <definedName name="code_layer_1" localSheetId="2">Blueprint_ep1!#REF!</definedName>
    <definedName name="code_layer_1" localSheetId="3">Blueprint_inference!#REF!</definedName>
    <definedName name="code_layer_10" localSheetId="1">Blueprint!$BR$30</definedName>
    <definedName name="code_layer_10" localSheetId="2">Blueprint_ep1!#REF!</definedName>
    <definedName name="code_layer_10" localSheetId="3">Blueprint_inference!#REF!</definedName>
    <definedName name="code_layer_11" localSheetId="1">Blueprint!$BR$33</definedName>
    <definedName name="code_layer_11" localSheetId="2">Blueprint_ep1!#REF!</definedName>
    <definedName name="code_layer_11" localSheetId="3">Blueprint_inference!#REF!</definedName>
    <definedName name="code_layer_12" localSheetId="1">Blueprint!$BR$33</definedName>
    <definedName name="code_layer_12" localSheetId="2">Blueprint_ep1!#REF!</definedName>
    <definedName name="code_layer_12" localSheetId="3">Blueprint_inference!#REF!</definedName>
    <definedName name="code_layer_2" localSheetId="1">Blueprint!$BR$22</definedName>
    <definedName name="code_layer_2" localSheetId="2">Blueprint_ep1!#REF!</definedName>
    <definedName name="code_layer_2" localSheetId="3">Blueprint_inference!#REF!</definedName>
    <definedName name="code_layer_3" localSheetId="1">Blueprint!$BR$23</definedName>
    <definedName name="code_layer_3" localSheetId="2">Blueprint_ep1!#REF!</definedName>
    <definedName name="code_layer_3" localSheetId="3">Blueprint_inference!#REF!</definedName>
    <definedName name="code_layer_4" localSheetId="1">Blueprint!$BR$24</definedName>
    <definedName name="code_layer_4" localSheetId="2">Blueprint_ep1!#REF!</definedName>
    <definedName name="code_layer_4" localSheetId="3">Blueprint_inference!#REF!</definedName>
    <definedName name="code_layer_5" localSheetId="1">Blueprint!$BR$25</definedName>
    <definedName name="code_layer_5" localSheetId="2">Blueprint_ep1!#REF!</definedName>
    <definedName name="code_layer_5" localSheetId="3">Blueprint_inference!#REF!</definedName>
    <definedName name="code_layer_6" localSheetId="1">Blueprint!$BR$26</definedName>
    <definedName name="code_layer_6" localSheetId="2">Blueprint_ep1!#REF!</definedName>
    <definedName name="code_layer_6" localSheetId="3">Blueprint_inference!#REF!</definedName>
    <definedName name="code_layer_7" localSheetId="1">Blueprint!$BR$27</definedName>
    <definedName name="code_layer_7" localSheetId="2">Blueprint_ep1!#REF!</definedName>
    <definedName name="code_layer_7" localSheetId="3">Blueprint_inference!#REF!</definedName>
    <definedName name="code_layer_8" localSheetId="1">Blueprint!$BR$28</definedName>
    <definedName name="code_layer_8" localSheetId="2">Blueprint_ep1!#REF!</definedName>
    <definedName name="code_layer_8" localSheetId="3">Blueprint_inference!#REF!</definedName>
    <definedName name="code_layer_9" localSheetId="1">Blueprint!$BR$29</definedName>
    <definedName name="code_layer_9" localSheetId="2">Blueprint_ep1!#REF!</definedName>
    <definedName name="code_layer_9" localSheetId="3">Blueprint_inference!#REF!</definedName>
    <definedName name="dashboard_grad_summary" localSheetId="4">Dashboard!$BC$36</definedName>
    <definedName name="dashboard_gradients" localSheetId="4">Dashboard!$AN$4</definedName>
    <definedName name="dashboard_list" localSheetId="4">Dashboard!$B$4</definedName>
    <definedName name="dashboard_loss" localSheetId="4">Dashboard!$K$4</definedName>
    <definedName name="dashboard_weights" localSheetId="4">Dashboard!$K$36</definedName>
    <definedName name="dW_0" localSheetId="1">Blueprint!$AM$29:$AT$32</definedName>
    <definedName name="dW_0" localSheetId="2">Blueprint_ep1!$AM$29:$AT$32</definedName>
    <definedName name="dW_0" localSheetId="3">Blueprint_inference!$AM$29:$AT$32</definedName>
    <definedName name="dW_3" localSheetId="1">Blueprint!$AM$69:$AQ$78</definedName>
    <definedName name="dW_3" localSheetId="2">Blueprint_ep1!$AM$69:$AQ$78</definedName>
    <definedName name="dW_3" localSheetId="3">Blueprint_inference!$AM$69:$AQ$78</definedName>
    <definedName name="dW_5" localSheetId="1">Blueprint!$AM$120:$AW$127</definedName>
    <definedName name="dW_5" localSheetId="2">Blueprint_ep1!$AM$120:$AW$127</definedName>
    <definedName name="dW_5" localSheetId="3">Blueprint_inference!$AM$120:$AW$127</definedName>
    <definedName name="dW_9" localSheetId="1">Blueprint!$AM$196:$AU$205</definedName>
    <definedName name="dW_9" localSheetId="2">Blueprint_ep1!$AM$196:$AU$205</definedName>
    <definedName name="dW_9" localSheetId="3">Blueprint_inference!$AM$196:$AU$205</definedName>
    <definedName name="erf_1" localSheetId="1">Blueprint!$P$37:$R$40</definedName>
    <definedName name="erf_1" localSheetId="2">Blueprint_ep1!$P$37:$R$40</definedName>
    <definedName name="erf_1" localSheetId="3">Blueprint_inference!$P$37:$R$40</definedName>
    <definedName name="erf_10" localSheetId="1">Blueprint!$P$210:$R$219</definedName>
    <definedName name="erf_10" localSheetId="2">Blueprint_ep1!$P$210:$R$219</definedName>
    <definedName name="erf_10" localSheetId="3">Blueprint_inference!$P$210:$R$219</definedName>
    <definedName name="erf_8" localSheetId="1">Blueprint!$P$174:$R$181</definedName>
    <definedName name="erf_8" localSheetId="2">Blueprint_ep1!$P$174:$R$181</definedName>
    <definedName name="erf_8" localSheetId="3">Blueprint_inference!$P$174:$R$181</definedName>
    <definedName name="G_0" localSheetId="1">Blueprint!$AI$29:$AK$32</definedName>
    <definedName name="G_0" localSheetId="2">Blueprint_ep1!$AI$29:$AK$32</definedName>
    <definedName name="G_0" localSheetId="3">Blueprint_inference!$AI$29:$AK$32</definedName>
    <definedName name="G_1" localSheetId="1">Blueprint!$AI$37:$AK$40</definedName>
    <definedName name="G_1" localSheetId="2">Blueprint_ep1!$AI$37:$AK$40</definedName>
    <definedName name="G_1" localSheetId="3">Blueprint_inference!$AI$37:$AK$40</definedName>
    <definedName name="G_10" localSheetId="1">Blueprint!$AI$210:$AK$219</definedName>
    <definedName name="G_10" localSheetId="2">Blueprint_ep1!$AI$210:$AK$219</definedName>
    <definedName name="G_10" localSheetId="3">Blueprint_inference!$AI$210:$AK$219</definedName>
    <definedName name="G_11" localSheetId="1">Blueprint!$AI$235:$AK$244</definedName>
    <definedName name="G_11" localSheetId="2">Blueprint_ep1!$AI$235:$AK$244</definedName>
    <definedName name="G_11" localSheetId="3">Blueprint_inference!$AI$235:$AK$244</definedName>
    <definedName name="G_2" localSheetId="1">Blueprint!$AI$50:$AK$53</definedName>
    <definedName name="G_2" localSheetId="2">Blueprint_ep1!$AI$50:$AK$53</definedName>
    <definedName name="G_2" localSheetId="3">Blueprint_inference!$AI$50:$AK$53</definedName>
    <definedName name="G_3" localSheetId="1">Blueprint!$AI$69:$AK$78</definedName>
    <definedName name="G_3" localSheetId="2">Blueprint_ep1!$AI$69:$AK$78</definedName>
    <definedName name="G_3" localSheetId="3">Blueprint_inference!$AI$69:$AK$78</definedName>
    <definedName name="G_4" localSheetId="1">Blueprint!$AI$83:$AK$92</definedName>
    <definedName name="G_4" localSheetId="2">Blueprint_ep1!$AI$83:$AK$92</definedName>
    <definedName name="G_4" localSheetId="3">Blueprint_inference!$AI$83:$AK$92</definedName>
    <definedName name="G_5" localSheetId="1">Blueprint!$AI$120:$AK$127</definedName>
    <definedName name="G_5" localSheetId="2">Blueprint_ep1!$AI$120:$AK$127</definedName>
    <definedName name="G_5" localSheetId="3">Blueprint_inference!$AI$120:$AK$127</definedName>
    <definedName name="G_6" localSheetId="1">Blueprint!$AI$132:$AK$139</definedName>
    <definedName name="G_6" localSheetId="2">Blueprint_ep1!$AI$132:$AK$139</definedName>
    <definedName name="G_6" localSheetId="3">Blueprint_inference!$AI$132:$AK$139</definedName>
    <definedName name="G_7" localSheetId="1">Blueprint!$AI$162:$AK$169</definedName>
    <definedName name="G_7" localSheetId="2">Blueprint_ep1!$AI$162:$AK$169</definedName>
    <definedName name="G_7" localSheetId="3">Blueprint_inference!$AI$162:$AK$169</definedName>
    <definedName name="G_8" localSheetId="1">Blueprint!$AI$174:$AK$181</definedName>
    <definedName name="G_8" localSheetId="2">Blueprint_ep1!$AI$174:$AK$181</definedName>
    <definedName name="G_8" localSheetId="3">Blueprint_inference!$AI$174:$AK$181</definedName>
    <definedName name="G_9" localSheetId="1">Blueprint!$AI$196:$AK$205</definedName>
    <definedName name="G_9" localSheetId="2">Blueprint_ep1!$AI$196:$AK$205</definedName>
    <definedName name="G_9" localSheetId="3">Blueprint_inference!$AI$196:$AK$205</definedName>
    <definedName name="L_12" localSheetId="1">Blueprint!$P$284:$R$284</definedName>
    <definedName name="L_12" localSheetId="2">Blueprint_ep1!$P$284:$R$284</definedName>
    <definedName name="L_12" localSheetId="3">Blueprint_inference!$P$284:$R$284</definedName>
    <definedName name="lossfn" localSheetId="1">Blueprint!$BR$33</definedName>
    <definedName name="lossfn" localSheetId="2">Blueprint_ep1!#REF!</definedName>
    <definedName name="lossfn" localSheetId="3">Blueprint_inference!#REF!</definedName>
    <definedName name="LossMean" localSheetId="1">Blueprint!$P$286</definedName>
    <definedName name="LossMean" localSheetId="2">Blueprint_ep1!$P$286</definedName>
    <definedName name="LossMean" localSheetId="3">Blueprint_inference!$P$286</definedName>
    <definedName name="lrate" localSheetId="1">Blueprint!$BA$25</definedName>
    <definedName name="lrate" localSheetId="2">Blueprint_ep1!$BA$25</definedName>
    <definedName name="lrate" localSheetId="3">Blueprint_inference!$BA$25</definedName>
    <definedName name="MaskGELU_1" localSheetId="1">Blueprint!$AE$29:$AG$32</definedName>
    <definedName name="MaskGELU_1" localSheetId="2">Blueprint_ep1!$AE$29:$AG$32</definedName>
    <definedName name="MaskGELU_1" localSheetId="3">Blueprint_inference!$AE$29:$AG$32</definedName>
    <definedName name="MaskGELU_10" localSheetId="1">Blueprint!$AE$196:$AG$205</definedName>
    <definedName name="MaskGELU_10" localSheetId="2">Blueprint_ep1!$AE$196:$AG$205</definedName>
    <definedName name="MaskGELU_10" localSheetId="3">Blueprint_inference!$AE$196:$AG$205</definedName>
    <definedName name="MaskGELU_8" localSheetId="1">Blueprint!$AE$162:$AG$169</definedName>
    <definedName name="MaskGELU_8" localSheetId="2">Blueprint_ep1!$AE$162:$AG$169</definedName>
    <definedName name="MaskGELU_8" localSheetId="3">Blueprint_inference!$AE$162:$AG$169</definedName>
    <definedName name="MaskReLU_7" localSheetId="1">Blueprint!$AE$132:$AG$139</definedName>
    <definedName name="MaskReLU_7" localSheetId="2">Blueprint_ep1!$AE$132:$AG$139</definedName>
    <definedName name="MaskReLU_7" localSheetId="3">Blueprint_inference!$AE$132:$AG$139</definedName>
    <definedName name="MaskTanh_2" localSheetId="1">Blueprint!$AE$37:$AG$40</definedName>
    <definedName name="MaskTanh_2" localSheetId="2">Blueprint_ep1!$AE$37:$AG$40</definedName>
    <definedName name="MaskTanh_2" localSheetId="3">Blueprint_inference!$AE$37:$AG$40</definedName>
    <definedName name="MaskTanh_4" localSheetId="1">Blueprint!$AE$69:$AG$78</definedName>
    <definedName name="MaskTanh_4" localSheetId="2">Blueprint_ep1!$AE$69:$AG$78</definedName>
    <definedName name="MaskTanh_4" localSheetId="3">Blueprint_inference!$AE$69:$AG$78</definedName>
    <definedName name="MaskTanh_6" localSheetId="1">Blueprint!$AE$120:$AG$127</definedName>
    <definedName name="MaskTanh_6" localSheetId="2">Blueprint_ep1!$AE$120:$AG$127</definedName>
    <definedName name="MaskTanh_6" localSheetId="3">Blueprint_inference!$AE$120:$AG$127</definedName>
    <definedName name="newW_0" localSheetId="1">Blueprint!$AZ$29:$BG$32</definedName>
    <definedName name="newW_0" localSheetId="2">Blueprint_ep1!$AZ$29:$BG$32</definedName>
    <definedName name="newW_0" localSheetId="3">Blueprint_inference!$AZ$29:$BG$32</definedName>
    <definedName name="newW_3" localSheetId="1">Blueprint!$AZ$69:$BD$78</definedName>
    <definedName name="newW_3" localSheetId="2">Blueprint_ep1!$AZ$69:$BD$78</definedName>
    <definedName name="newW_3" localSheetId="3">Blueprint_inference!$AZ$69:$BD$78</definedName>
    <definedName name="newW_5" localSheetId="1">Blueprint!$AZ$120:$BJ$127</definedName>
    <definedName name="newW_5" localSheetId="2">Blueprint_ep1!$AZ$120:$BJ$127</definedName>
    <definedName name="newW_5" localSheetId="3">Blueprint_inference!$AZ$120:$BJ$127</definedName>
    <definedName name="newW_9" localSheetId="1">Blueprint!$AZ$196:$BH$205</definedName>
    <definedName name="newW_9" localSheetId="2">Blueprint_ep1!$AZ$196:$BH$205</definedName>
    <definedName name="newW_9" localSheetId="3">Blueprint_inference!$AZ$196:$BH$205</definedName>
    <definedName name="ohe" localSheetId="1">Blueprint!$P$16:$R$25</definedName>
    <definedName name="ohe" localSheetId="2">Blueprint_ep1!$P$16:$R$25</definedName>
    <definedName name="ohe" localSheetId="3">Blueprint_inference!$P$16:$R$25</definedName>
    <definedName name="sumGX_11" localSheetId="1">Blueprint!$AE$210:$AG$210</definedName>
    <definedName name="sumGX_11" localSheetId="2">Blueprint_ep1!$AE$210:$AG$210</definedName>
    <definedName name="sumGX_11" localSheetId="3">Blueprint_inference!$AE$210:$AG$210</definedName>
    <definedName name="torchcode" localSheetId="1">Blueprint!$BN$13:$CM$48</definedName>
    <definedName name="torchcode" localSheetId="2">Blueprint_ep1!#REF!</definedName>
    <definedName name="torchcode" localSheetId="3">Blueprint_inference!#REF!</definedName>
    <definedName name="W_0" localSheetId="1">Blueprint!$G$29:$N$32</definedName>
    <definedName name="W_0" localSheetId="2">Blueprint_ep1!$G$29:$N$32</definedName>
    <definedName name="W_0" localSheetId="3">Blueprint_inference!$G$29:$N$32</definedName>
    <definedName name="W_3" localSheetId="1">Blueprint!$J$69:$N$78</definedName>
    <definedName name="W_3" localSheetId="2">Blueprint_ep1!$J$69:$N$78</definedName>
    <definedName name="W_3" localSheetId="3">Blueprint_inference!$J$69:$N$78</definedName>
    <definedName name="W_3T" localSheetId="1">Blueprint!$X$50:$AG$54</definedName>
    <definedName name="W_3T" localSheetId="2">Blueprint_ep1!$X$50:$AG$54</definedName>
    <definedName name="W_3T" localSheetId="3">Blueprint_inference!$X$50:$AG$54</definedName>
    <definedName name="W_5" localSheetId="1">Blueprint!$D$120:$N$127</definedName>
    <definedName name="W_5" localSheetId="2">Blueprint_ep1!$D$120:$N$127</definedName>
    <definedName name="W_5" localSheetId="3">Blueprint_inference!$D$120:$N$127</definedName>
    <definedName name="W_5T" localSheetId="1">Blueprint!$Z$83:$AG$93</definedName>
    <definedName name="W_5T" localSheetId="2">Blueprint_ep1!$Z$83:$AG$93</definedName>
    <definedName name="W_5T" localSheetId="3">Blueprint_inference!$Z$83:$AG$93</definedName>
    <definedName name="W_9" localSheetId="1">Blueprint!$F$196:$N$205</definedName>
    <definedName name="W_9" localSheetId="2">Blueprint_ep1!$F$196:$N$205</definedName>
    <definedName name="W_9" localSheetId="3">Blueprint_inference!$F$196:$N$205</definedName>
    <definedName name="W_9T" localSheetId="1">Blueprint!$X$174:$AG$182</definedName>
    <definedName name="W_9T" localSheetId="2">Blueprint_ep1!$X$174:$AG$182</definedName>
    <definedName name="W_9T" localSheetId="3">Blueprint_inference!$X$174:$AG$182</definedName>
    <definedName name="X" localSheetId="1">Blueprint!$P$5:$R$12</definedName>
    <definedName name="X" localSheetId="2">Blueprint_ep1!$P$5:$R$12</definedName>
    <definedName name="X" localSheetId="3">Blueprint_inference!$P$5:$R$12</definedName>
    <definedName name="X_0" localSheetId="1">Blueprint!$P$29:$R$32</definedName>
    <definedName name="X_0" localSheetId="2">Blueprint_ep1!$P$29:$R$32</definedName>
    <definedName name="X_0" localSheetId="3">Blueprint_inference!$P$29:$R$32</definedName>
    <definedName name="X_1" localSheetId="1">Blueprint!$P$42:$R$45</definedName>
    <definedName name="X_1" localSheetId="2">Blueprint_ep1!$P$42:$R$45</definedName>
    <definedName name="X_1" localSheetId="3">Blueprint_inference!$P$42:$R$45</definedName>
    <definedName name="X_10" localSheetId="1">Blueprint!$P$221:$R$230</definedName>
    <definedName name="X_10" localSheetId="2">Blueprint_ep1!$P$221:$R$230</definedName>
    <definedName name="X_10" localSheetId="3">Blueprint_inference!$P$221:$R$230</definedName>
    <definedName name="X_11" localSheetId="1">Blueprint!$P$248:$R$257</definedName>
    <definedName name="X_11" localSheetId="2">Blueprint_ep1!$P$248:$R$257</definedName>
    <definedName name="X_11" localSheetId="3">Blueprint_inference!$P$248:$R$257</definedName>
    <definedName name="X_2" localSheetId="1">Blueprint!$P$60:$R$64</definedName>
    <definedName name="X_2" localSheetId="2">Blueprint_ep1!$P$60:$R$64</definedName>
    <definedName name="X_2" localSheetId="3">Blueprint_inference!$P$60:$R$64</definedName>
    <definedName name="X_3" localSheetId="1">Blueprint!$P$69:$R$78</definedName>
    <definedName name="X_3" localSheetId="2">Blueprint_ep1!$P$69:$R$78</definedName>
    <definedName name="X_3" localSheetId="3">Blueprint_inference!$P$69:$R$78</definedName>
    <definedName name="X_4" localSheetId="1">Blueprint!$P$105:$R$115</definedName>
    <definedName name="X_4" localSheetId="2">Blueprint_ep1!$P$105:$R$115</definedName>
    <definedName name="X_4" localSheetId="3">Blueprint_inference!$P$105:$R$115</definedName>
    <definedName name="X_5" localSheetId="1">Blueprint!$P$120:$R$127</definedName>
    <definedName name="X_5" localSheetId="2">Blueprint_ep1!$P$120:$R$127</definedName>
    <definedName name="X_5" localSheetId="3">Blueprint_inference!$P$120:$R$127</definedName>
    <definedName name="X_6" localSheetId="1">Blueprint!$P$150:$R$157</definedName>
    <definedName name="X_6" localSheetId="2">Blueprint_ep1!$P$150:$R$157</definedName>
    <definedName name="X_6" localSheetId="3">Blueprint_inference!$P$150:$R$157</definedName>
    <definedName name="X_7" localSheetId="1">Blueprint!$P$162:$R$169</definedName>
    <definedName name="X_7" localSheetId="2">Blueprint_ep1!$P$162:$R$169</definedName>
    <definedName name="X_7" localSheetId="3">Blueprint_inference!$P$162:$R$169</definedName>
    <definedName name="X_8" localSheetId="1">Blueprint!$P$183:$R$191</definedName>
    <definedName name="X_8" localSheetId="2">Blueprint_ep1!$P$183:$R$191</definedName>
    <definedName name="X_8" localSheetId="3">Blueprint_inference!$P$183:$R$191</definedName>
    <definedName name="X_9" localSheetId="1">Blueprint!$P$196:$R$205</definedName>
    <definedName name="X_9" localSheetId="2">Blueprint_ep1!$P$196:$R$205</definedName>
    <definedName name="X_9" localSheetId="3">Blueprint_inference!$P$196:$R$205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64" l="1"/>
  <c r="G11" i="11"/>
  <c r="C8" i="64"/>
  <c r="C7" i="64"/>
  <c r="C6" i="64"/>
  <c r="C5" i="64"/>
  <c r="BW36" i="64"/>
  <c r="BP40" i="64" a="1"/>
  <c r="BP40" i="64" s="1"/>
  <c r="BO40" i="64" a="1"/>
  <c r="BO40" i="64" s="1"/>
  <c r="BN40" i="64" a="1"/>
  <c r="BN40" i="64" s="1"/>
  <c r="BM40" i="64" a="1"/>
  <c r="BM40" i="64" s="1"/>
  <c r="BL40" i="64" a="1"/>
  <c r="BL40" i="64" s="1"/>
  <c r="BK40" i="64" a="1"/>
  <c r="BK40" i="64" s="1"/>
  <c r="BJ40" i="64" a="1"/>
  <c r="BJ40" i="64" s="1"/>
  <c r="BI40" i="64" a="1"/>
  <c r="BI40" i="64" s="1"/>
  <c r="BH40" i="64" a="1"/>
  <c r="BH40" i="64" s="1"/>
  <c r="BG40" i="64" a="1"/>
  <c r="BG40" i="64" s="1"/>
  <c r="BF40" i="64" a="1"/>
  <c r="BF40" i="64" s="1"/>
  <c r="BE40" i="64" a="1"/>
  <c r="BE40" i="64" s="1"/>
  <c r="BP39" i="64" a="1"/>
  <c r="BP39" i="64" s="1"/>
  <c r="BO39" i="64" a="1"/>
  <c r="BO39" i="64" s="1"/>
  <c r="BN39" i="64" a="1"/>
  <c r="BN39" i="64" s="1"/>
  <c r="BM39" i="64" a="1"/>
  <c r="BM39" i="64" s="1"/>
  <c r="BL39" i="64" a="1"/>
  <c r="BL39" i="64" s="1"/>
  <c r="BK39" i="64" a="1"/>
  <c r="BK39" i="64" s="1"/>
  <c r="BJ39" i="64" a="1"/>
  <c r="BJ39" i="64" s="1"/>
  <c r="BI39" i="64" a="1"/>
  <c r="BI39" i="64" s="1"/>
  <c r="BH39" i="64" a="1"/>
  <c r="BH39" i="64" s="1"/>
  <c r="BG39" i="64" a="1"/>
  <c r="BG39" i="64" s="1"/>
  <c r="BF39" i="64" a="1"/>
  <c r="BF39" i="64" s="1"/>
  <c r="BE39" i="64" a="1"/>
  <c r="BE39" i="64" s="1"/>
  <c r="BD39" i="64" a="1"/>
  <c r="BD39" i="64" s="1"/>
  <c r="AV36" i="64"/>
  <c r="AN52" i="64" a="1"/>
  <c r="AN52" i="64" s="1"/>
  <c r="AN41" i="64" a="1"/>
  <c r="AN41" i="64" s="1"/>
  <c r="AB50" i="64" a="1"/>
  <c r="AB50" i="64" s="1"/>
  <c r="AB41" i="64" a="1"/>
  <c r="AB41" i="64" s="1"/>
  <c r="V52" i="64" a="1"/>
  <c r="V52" i="64" s="1"/>
  <c r="V41" i="64" a="1"/>
  <c r="V41" i="64" s="1"/>
  <c r="M46" i="64" a="1"/>
  <c r="M46" i="64" s="1"/>
  <c r="M41" i="64" a="1"/>
  <c r="M41" i="64" s="1"/>
  <c r="CJ4" i="64"/>
  <c r="CH14" i="64" a="1"/>
  <c r="CH14" i="64" s="1"/>
  <c r="CH9" i="64" a="1"/>
  <c r="CH9" i="64" s="1"/>
  <c r="CD14" i="64" a="1"/>
  <c r="CD14" i="64" s="1"/>
  <c r="CD9" i="64" a="1"/>
  <c r="CD9" i="64" s="1"/>
  <c r="BZ14" i="64" a="1"/>
  <c r="BZ14" i="64" s="1"/>
  <c r="BZ9" i="64" a="1"/>
  <c r="BZ9" i="64" s="1"/>
  <c r="BV20" i="64" a="1"/>
  <c r="BV20" i="64" s="1"/>
  <c r="BV9" i="64" a="1"/>
  <c r="BV9" i="64" s="1"/>
  <c r="BR20" i="64" a="1"/>
  <c r="BR20" i="64" s="1"/>
  <c r="BR9" i="64" a="1"/>
  <c r="BR9" i="64" s="1"/>
  <c r="BN18" i="64" a="1"/>
  <c r="BN18" i="64" s="1"/>
  <c r="BN9" i="64" a="1"/>
  <c r="BN9" i="64" s="1"/>
  <c r="BJ18" i="64" a="1"/>
  <c r="BJ18" i="64" s="1"/>
  <c r="BJ9" i="64" a="1"/>
  <c r="BJ9" i="64" s="1"/>
  <c r="BF18" i="64" a="1"/>
  <c r="BF18" i="64" s="1"/>
  <c r="BF9" i="64" a="1"/>
  <c r="BF9" i="64" s="1"/>
  <c r="BB18" i="64" a="1"/>
  <c r="BB18" i="64" s="1"/>
  <c r="BB9" i="64" a="1"/>
  <c r="BB9" i="64" s="1"/>
  <c r="AX20" i="64" a="1"/>
  <c r="AX20" i="64" s="1"/>
  <c r="AX9" i="64" a="1"/>
  <c r="AX9" i="64" s="1"/>
  <c r="AT20" i="64" a="1"/>
  <c r="AT20" i="64" s="1"/>
  <c r="AT9" i="64" a="1"/>
  <c r="AT9" i="64" s="1"/>
  <c r="AP20" i="64" a="1"/>
  <c r="AP20" i="64" s="1"/>
  <c r="AP9" i="64" a="1"/>
  <c r="AP9" i="64" s="1"/>
  <c r="AF4" i="64"/>
  <c r="L7" i="64"/>
  <c r="L6" i="64"/>
  <c r="K6" i="64" a="1"/>
  <c r="K6" i="64" s="1"/>
  <c r="A1" i="63"/>
  <c r="G10" i="11"/>
  <c r="T287" i="63"/>
  <c r="T286" i="63"/>
  <c r="T258" i="63"/>
  <c r="T257" i="63"/>
  <c r="T231" i="63"/>
  <c r="T230" i="63"/>
  <c r="T206" i="63"/>
  <c r="T205" i="63"/>
  <c r="T192" i="63"/>
  <c r="T191" i="63"/>
  <c r="T170" i="63"/>
  <c r="T169" i="63"/>
  <c r="T158" i="63"/>
  <c r="T157" i="63"/>
  <c r="T128" i="63"/>
  <c r="T127" i="63"/>
  <c r="T116" i="63"/>
  <c r="T115" i="63"/>
  <c r="T79" i="63"/>
  <c r="T78" i="63"/>
  <c r="T65" i="63"/>
  <c r="T64" i="63"/>
  <c r="T46" i="63"/>
  <c r="T45" i="63"/>
  <c r="T33" i="63"/>
  <c r="T32" i="63"/>
  <c r="R16" i="63" a="1"/>
  <c r="R16" i="63" s="1"/>
  <c r="Q16" i="63" a="1"/>
  <c r="Q16" i="63" s="1"/>
  <c r="P16" i="63" a="1"/>
  <c r="P16" i="63" s="1"/>
  <c r="A1" i="62"/>
  <c r="G9" i="11"/>
  <c r="BA25" i="62"/>
  <c r="T287" i="62"/>
  <c r="T286" i="62"/>
  <c r="V258" i="62"/>
  <c r="T258" i="62"/>
  <c r="V257" i="62"/>
  <c r="T257" i="62"/>
  <c r="V231" i="62"/>
  <c r="T231" i="62"/>
  <c r="V230" i="62"/>
  <c r="T230" i="62"/>
  <c r="V206" i="62"/>
  <c r="T206" i="62"/>
  <c r="V205" i="62"/>
  <c r="T205" i="62"/>
  <c r="V192" i="62"/>
  <c r="T192" i="62"/>
  <c r="V191" i="62"/>
  <c r="T191" i="62"/>
  <c r="V170" i="62"/>
  <c r="T170" i="62"/>
  <c r="V169" i="62"/>
  <c r="T169" i="62"/>
  <c r="V158" i="62"/>
  <c r="T158" i="62"/>
  <c r="V157" i="62"/>
  <c r="T157" i="62"/>
  <c r="V128" i="62"/>
  <c r="T128" i="62"/>
  <c r="V127" i="62"/>
  <c r="T127" i="62"/>
  <c r="V116" i="62"/>
  <c r="T116" i="62"/>
  <c r="V115" i="62"/>
  <c r="T115" i="62"/>
  <c r="V79" i="62"/>
  <c r="T79" i="62"/>
  <c r="V78" i="62"/>
  <c r="T78" i="62"/>
  <c r="V65" i="62"/>
  <c r="T65" i="62"/>
  <c r="V64" i="62"/>
  <c r="T64" i="62"/>
  <c r="V46" i="62"/>
  <c r="T46" i="62"/>
  <c r="V45" i="62"/>
  <c r="T45" i="62"/>
  <c r="V33" i="62"/>
  <c r="T33" i="62"/>
  <c r="V32" i="62"/>
  <c r="T32" i="62"/>
  <c r="R16" i="62" a="1"/>
  <c r="R16" i="62" s="1"/>
  <c r="Q16" i="62" a="1"/>
  <c r="Q16" i="62" s="1"/>
  <c r="P16" i="62" a="1"/>
  <c r="P16" i="62" s="1"/>
  <c r="G8" i="11"/>
  <c r="BO45" i="59"/>
  <c r="BO44" i="59"/>
  <c r="BO36" i="59"/>
  <c r="BO35" i="59"/>
  <c r="BO33" i="59"/>
  <c r="BO30" i="59"/>
  <c r="BO29" i="59"/>
  <c r="BO28" i="59"/>
  <c r="BO27" i="59"/>
  <c r="BO26" i="59"/>
  <c r="BO25" i="59"/>
  <c r="BO24" i="59"/>
  <c r="BO23" i="59"/>
  <c r="BO22" i="59"/>
  <c r="BO21" i="59"/>
  <c r="BO20" i="59"/>
  <c r="BO17" i="59"/>
  <c r="BO16" i="59"/>
  <c r="AE29" i="59" a="1"/>
  <c r="AE29" i="59" s="1"/>
  <c r="AE37" i="59" a="1"/>
  <c r="AE37" i="59" s="1"/>
  <c r="X50" i="59" a="1"/>
  <c r="X50" i="59" s="1"/>
  <c r="AE69" i="59" a="1"/>
  <c r="AE69" i="59" s="1"/>
  <c r="Z83" i="59" a="1"/>
  <c r="Z83" i="59" s="1"/>
  <c r="AE120" i="59" a="1"/>
  <c r="AE120" i="59" s="1"/>
  <c r="AE132" i="59" a="1"/>
  <c r="AE132" i="59" s="1"/>
  <c r="AE162" i="59" a="1"/>
  <c r="AE162" i="59" s="1"/>
  <c r="X174" i="59" a="1"/>
  <c r="X174" i="59" s="1"/>
  <c r="AE196" i="59" a="1"/>
  <c r="AE196" i="59" s="1"/>
  <c r="AI235" i="59" a="1"/>
  <c r="AI235" i="59" s="1"/>
  <c r="A1" i="59"/>
  <c r="G7" i="11"/>
  <c r="T287" i="59"/>
  <c r="T286" i="59"/>
  <c r="E18" i="11"/>
  <c r="P286" i="59"/>
  <c r="P284" i="59" a="1"/>
  <c r="P284" i="59" s="1"/>
  <c r="P273" i="59" a="1"/>
  <c r="P273" i="59" s="1"/>
  <c r="P262" i="59" a="1"/>
  <c r="P262" i="59" s="1"/>
  <c r="V258" i="59"/>
  <c r="V257" i="59"/>
  <c r="T258" i="59"/>
  <c r="T257" i="59"/>
  <c r="E17" i="11"/>
  <c r="P248" i="59" a="1"/>
  <c r="P248" i="59" s="1"/>
  <c r="P246" i="59" a="1"/>
  <c r="P246" i="59" s="1"/>
  <c r="P235" i="59" a="1"/>
  <c r="P235" i="59" s="1"/>
  <c r="V231" i="59"/>
  <c r="V230" i="59"/>
  <c r="T231" i="59"/>
  <c r="T230" i="59"/>
  <c r="E16" i="11"/>
  <c r="P221" i="59" a="1"/>
  <c r="P221" i="59" s="1"/>
  <c r="P210" i="59" a="1"/>
  <c r="P210" i="59" s="1"/>
  <c r="V206" i="59"/>
  <c r="V205" i="59"/>
  <c r="T206" i="59"/>
  <c r="T205" i="59"/>
  <c r="E15" i="11"/>
  <c r="P196" i="59" a="1"/>
  <c r="P196" i="59" s="1"/>
  <c r="V192" i="59"/>
  <c r="V191" i="59"/>
  <c r="T192" i="59"/>
  <c r="T191" i="59"/>
  <c r="E14" i="11"/>
  <c r="P183" i="59" a="1"/>
  <c r="P183" i="59" s="1"/>
  <c r="P174" i="59" a="1"/>
  <c r="P174" i="59" s="1"/>
  <c r="V170" i="59"/>
  <c r="V169" i="59"/>
  <c r="T170" i="59"/>
  <c r="T169" i="59"/>
  <c r="E13" i="11"/>
  <c r="P162" i="59" a="1"/>
  <c r="P162" i="59" s="1"/>
  <c r="V158" i="59"/>
  <c r="V157" i="59"/>
  <c r="T158" i="59"/>
  <c r="T157" i="59"/>
  <c r="E12" i="11"/>
  <c r="P150" i="59" a="1"/>
  <c r="P150" i="59" s="1"/>
  <c r="P141" i="59" a="1"/>
  <c r="P141" i="59" s="1"/>
  <c r="P132" i="59" a="1"/>
  <c r="P132" i="59" s="1"/>
  <c r="V128" i="59"/>
  <c r="V127" i="59"/>
  <c r="T128" i="59"/>
  <c r="T127" i="59"/>
  <c r="E11" i="11"/>
  <c r="P120" i="59" a="1"/>
  <c r="P120" i="59" s="1"/>
  <c r="V116" i="59"/>
  <c r="V115" i="59"/>
  <c r="T116" i="59"/>
  <c r="T115" i="59"/>
  <c r="E10" i="11"/>
  <c r="P105" i="59" a="1"/>
  <c r="P105" i="59" s="1"/>
  <c r="P94" i="59" a="1"/>
  <c r="P94" i="59" s="1"/>
  <c r="P83" i="59" a="1"/>
  <c r="P83" i="59" s="1"/>
  <c r="V79" i="59"/>
  <c r="V78" i="59"/>
  <c r="T79" i="59"/>
  <c r="T78" i="59"/>
  <c r="E9" i="11"/>
  <c r="P69" i="59" a="1"/>
  <c r="P69" i="59" s="1"/>
  <c r="V65" i="59"/>
  <c r="V64" i="59"/>
  <c r="T65" i="59"/>
  <c r="T64" i="59"/>
  <c r="E8" i="11"/>
  <c r="P60" i="59" a="1"/>
  <c r="P60" i="59" s="1"/>
  <c r="P55" i="59" a="1"/>
  <c r="P55" i="59" s="1"/>
  <c r="P50" i="59" a="1"/>
  <c r="P50" i="59" s="1"/>
  <c r="V46" i="59"/>
  <c r="V45" i="59"/>
  <c r="T46" i="59"/>
  <c r="T45" i="59"/>
  <c r="E7" i="11"/>
  <c r="P42" i="59" a="1"/>
  <c r="P42" i="59" s="1"/>
  <c r="P37" i="59" a="1"/>
  <c r="P37" i="59" s="1"/>
  <c r="V33" i="59"/>
  <c r="V32" i="59"/>
  <c r="T33" i="59"/>
  <c r="T32" i="59"/>
  <c r="E6" i="11"/>
  <c r="P29" i="59" a="1"/>
  <c r="P29" i="59" s="1"/>
  <c r="R16" i="59" a="1"/>
  <c r="R16" i="59" s="1"/>
  <c r="Q16" i="59" a="1"/>
  <c r="Q16" i="59" s="1"/>
  <c r="P16" i="59" a="1"/>
  <c r="P16" i="59" s="1"/>
  <c r="J1" i="15"/>
  <c r="AE210" i="59" l="1" a="1"/>
  <c r="AE210" i="59" s="1"/>
  <c r="AI210" i="59" s="1" a="1"/>
  <c r="AI210" i="59" s="1"/>
  <c r="AI196" i="59" s="1" a="1"/>
  <c r="AI196" i="59" s="1"/>
  <c r="Y13" i="10" a="1"/>
  <c r="Y13" i="10" s="1"/>
  <c r="AM196" i="59" l="1" a="1"/>
  <c r="AM196" i="59" s="1"/>
  <c r="AZ196" i="59" s="1" a="1"/>
  <c r="AZ196" i="59" s="1"/>
  <c r="AI174" i="59" a="1"/>
  <c r="AI174" i="59" s="1"/>
  <c r="AI162" i="59" s="1" a="1"/>
  <c r="AI162" i="59" s="1"/>
  <c r="AI132" i="59" s="1" a="1"/>
  <c r="AI132" i="59" s="1"/>
  <c r="AI120" i="59" s="1" a="1"/>
  <c r="AI120" i="59" s="1"/>
  <c r="Y14" i="10" a="1"/>
  <c r="Y14" i="10" s="1"/>
  <c r="F196" i="63" l="1" a="1"/>
  <c r="F196" i="63" s="1"/>
  <c r="F196" i="62" a="1"/>
  <c r="F196" i="62" s="1"/>
  <c r="X174" i="62" s="1" a="1"/>
  <c r="X174" i="62" s="1"/>
  <c r="AM120" i="59" a="1"/>
  <c r="AM120" i="59" s="1"/>
  <c r="AZ120" i="59" s="1" a="1"/>
  <c r="AZ120" i="59" s="1"/>
  <c r="AI83" i="59" a="1"/>
  <c r="AI83" i="59" s="1"/>
  <c r="AI69" i="59" s="1" a="1"/>
  <c r="AI69" i="59" s="1"/>
  <c r="BU66" i="15" a="1"/>
  <c r="BU66" i="15" s="1"/>
  <c r="BU67" i="15" s="1" a="1"/>
  <c r="BU67" i="15" s="1"/>
  <c r="BU59" i="15" a="1"/>
  <c r="BU59" i="15" s="1"/>
  <c r="BU60" i="15" s="1" a="1"/>
  <c r="BU60" i="15" s="1"/>
  <c r="BU52" i="15" a="1"/>
  <c r="BU52" i="15" s="1"/>
  <c r="BU53" i="15" s="1" a="1"/>
  <c r="BU53" i="15" s="1"/>
  <c r="BU45" i="15" a="1"/>
  <c r="BU45" i="15" s="1"/>
  <c r="BU46" i="15" s="1" a="1"/>
  <c r="BU46" i="15" s="1"/>
  <c r="BU38" i="15" a="1"/>
  <c r="BU38" i="15" s="1"/>
  <c r="BU39" i="15" s="1" a="1"/>
  <c r="BU39" i="15" s="1"/>
  <c r="BU31" i="15" a="1"/>
  <c r="BU31" i="15" s="1"/>
  <c r="BU32" i="15" s="1" a="1"/>
  <c r="BU32" i="15" s="1"/>
  <c r="BU24" i="15" a="1"/>
  <c r="BU24" i="15" s="1"/>
  <c r="BU25" i="15" s="1" a="1"/>
  <c r="BU25" i="15" s="1"/>
  <c r="BU17" i="15" a="1"/>
  <c r="BU17" i="15" s="1"/>
  <c r="BU18" i="15" s="1" a="1"/>
  <c r="BU18" i="15" s="1"/>
  <c r="BU10" i="15" a="1"/>
  <c r="BU10" i="15" s="1"/>
  <c r="BU11" i="15" s="1" a="1"/>
  <c r="BU11" i="15" s="1"/>
  <c r="BU3" i="15" a="1"/>
  <c r="BU3" i="15" s="1"/>
  <c r="BU4" i="15" s="1" a="1"/>
  <c r="BU4" i="15" s="1"/>
  <c r="BN66" i="15" a="1"/>
  <c r="BN66" i="15" s="1"/>
  <c r="BN67" i="15" s="1" a="1"/>
  <c r="BN67" i="15" s="1"/>
  <c r="BN59" i="15" a="1"/>
  <c r="BN59" i="15" s="1"/>
  <c r="BN60" i="15" s="1" a="1"/>
  <c r="BN60" i="15" s="1"/>
  <c r="BN52" i="15" a="1"/>
  <c r="BN52" i="15" s="1"/>
  <c r="BN53" i="15" s="1" a="1"/>
  <c r="BN53" i="15" s="1"/>
  <c r="BN45" i="15" a="1"/>
  <c r="BN45" i="15" s="1"/>
  <c r="BN46" i="15" s="1" a="1"/>
  <c r="BN46" i="15" s="1"/>
  <c r="BN38" i="15" a="1"/>
  <c r="BN38" i="15" s="1"/>
  <c r="BN39" i="15" s="1" a="1"/>
  <c r="BN39" i="15" s="1"/>
  <c r="BN31" i="15" a="1"/>
  <c r="BN31" i="15" s="1"/>
  <c r="BN32" i="15" s="1" a="1"/>
  <c r="BN32" i="15" s="1"/>
  <c r="BN24" i="15" a="1"/>
  <c r="BN24" i="15" s="1"/>
  <c r="BN25" i="15" s="1" a="1"/>
  <c r="BN25" i="15" s="1"/>
  <c r="BN17" i="15" a="1"/>
  <c r="BN17" i="15" s="1"/>
  <c r="BN18" i="15" s="1" a="1"/>
  <c r="BN18" i="15" s="1"/>
  <c r="BN10" i="15" a="1"/>
  <c r="BN10" i="15" s="1"/>
  <c r="BN11" i="15" s="1" a="1"/>
  <c r="BN11" i="15" s="1"/>
  <c r="BN3" i="15" a="1"/>
  <c r="BN3" i="15" s="1"/>
  <c r="BN4" i="15" s="1" a="1"/>
  <c r="BN4" i="15" s="1"/>
  <c r="BG66" i="15" a="1"/>
  <c r="BG66" i="15" s="1"/>
  <c r="BG67" i="15" s="1" a="1"/>
  <c r="BG67" i="15" s="1"/>
  <c r="BG59" i="15" a="1"/>
  <c r="BG59" i="15" s="1"/>
  <c r="BG60" i="15" s="1" a="1"/>
  <c r="BG60" i="15" s="1"/>
  <c r="BG52" i="15" a="1"/>
  <c r="BG52" i="15" s="1"/>
  <c r="BG53" i="15" s="1" a="1"/>
  <c r="BG53" i="15" s="1"/>
  <c r="BG45" i="15" a="1"/>
  <c r="BG45" i="15" s="1"/>
  <c r="BG46" i="15" s="1" a="1"/>
  <c r="BG46" i="15" s="1"/>
  <c r="BG38" i="15" a="1"/>
  <c r="BG38" i="15" s="1"/>
  <c r="BG39" i="15" s="1" a="1"/>
  <c r="BG39" i="15" s="1"/>
  <c r="BG31" i="15" a="1"/>
  <c r="BG31" i="15" s="1"/>
  <c r="BG32" i="15" s="1" a="1"/>
  <c r="BG32" i="15" s="1"/>
  <c r="BG24" i="15" a="1"/>
  <c r="BG24" i="15" s="1"/>
  <c r="BG25" i="15" s="1" a="1"/>
  <c r="BG25" i="15" s="1"/>
  <c r="BG17" i="15" a="1"/>
  <c r="BG17" i="15" s="1"/>
  <c r="BG18" i="15" s="1" a="1"/>
  <c r="BG18" i="15" s="1"/>
  <c r="BG10" i="15" a="1"/>
  <c r="BG10" i="15" s="1"/>
  <c r="BG11" i="15" s="1" a="1"/>
  <c r="BG11" i="15" s="1"/>
  <c r="BG3" i="15" a="1"/>
  <c r="BG3" i="15" s="1"/>
  <c r="BG4" i="15" s="1" a="1"/>
  <c r="BG4" i="15" s="1"/>
  <c r="AZ66" i="15" a="1"/>
  <c r="AZ66" i="15" s="1"/>
  <c r="AZ67" i="15" s="1" a="1"/>
  <c r="AZ67" i="15" s="1"/>
  <c r="AZ59" i="15" a="1"/>
  <c r="AZ59" i="15" s="1"/>
  <c r="AZ60" i="15" s="1" a="1"/>
  <c r="AZ60" i="15" s="1"/>
  <c r="AZ52" i="15" a="1"/>
  <c r="AZ52" i="15" s="1"/>
  <c r="AZ53" i="15" s="1" a="1"/>
  <c r="AZ53" i="15" s="1"/>
  <c r="AZ45" i="15" a="1"/>
  <c r="AZ45" i="15" s="1"/>
  <c r="AZ46" i="15" s="1" a="1"/>
  <c r="AZ46" i="15" s="1"/>
  <c r="AZ38" i="15" a="1"/>
  <c r="AZ38" i="15" s="1"/>
  <c r="AZ39" i="15" s="1" a="1"/>
  <c r="AZ39" i="15" s="1"/>
  <c r="AZ31" i="15" a="1"/>
  <c r="AZ31" i="15" s="1"/>
  <c r="AZ32" i="15" s="1" a="1"/>
  <c r="AZ32" i="15" s="1"/>
  <c r="AZ24" i="15" a="1"/>
  <c r="AZ24" i="15" s="1"/>
  <c r="AZ25" i="15" s="1" a="1"/>
  <c r="AZ25" i="15" s="1"/>
  <c r="AZ17" i="15" a="1"/>
  <c r="AZ17" i="15" s="1"/>
  <c r="AZ18" i="15" s="1" a="1"/>
  <c r="AZ18" i="15" s="1"/>
  <c r="AZ10" i="15" a="1"/>
  <c r="AZ10" i="15" s="1"/>
  <c r="AZ11" i="15" s="1" a="1"/>
  <c r="AZ11" i="15" s="1"/>
  <c r="AZ3" i="15" a="1"/>
  <c r="AZ3" i="15" s="1"/>
  <c r="AZ4" i="15" s="1" a="1"/>
  <c r="AZ4" i="15" s="1"/>
  <c r="AS66" i="15" a="1"/>
  <c r="AS66" i="15" s="1"/>
  <c r="AS67" i="15" s="1" a="1"/>
  <c r="AS67" i="15" s="1"/>
  <c r="AS59" i="15" a="1"/>
  <c r="AS59" i="15" s="1"/>
  <c r="AS60" i="15" s="1" a="1"/>
  <c r="AS60" i="15" s="1"/>
  <c r="AS52" i="15" a="1"/>
  <c r="AS52" i="15" s="1"/>
  <c r="AS53" i="15" s="1" a="1"/>
  <c r="AS53" i="15" s="1"/>
  <c r="AS45" i="15" a="1"/>
  <c r="AS45" i="15" s="1"/>
  <c r="AS46" i="15" s="1" a="1"/>
  <c r="AS46" i="15" s="1"/>
  <c r="AS38" i="15" a="1"/>
  <c r="AS38" i="15" s="1"/>
  <c r="AS39" i="15" s="1" a="1"/>
  <c r="AS39" i="15" s="1"/>
  <c r="AS31" i="15" a="1"/>
  <c r="AS31" i="15" s="1"/>
  <c r="AS32" i="15" s="1" a="1"/>
  <c r="AS32" i="15" s="1"/>
  <c r="AS24" i="15" a="1"/>
  <c r="AS24" i="15" s="1"/>
  <c r="AS25" i="15" s="1" a="1"/>
  <c r="AS25" i="15" s="1"/>
  <c r="AS17" i="15" a="1"/>
  <c r="AS17" i="15" s="1"/>
  <c r="AS18" i="15" s="1" a="1"/>
  <c r="AS18" i="15" s="1"/>
  <c r="AS10" i="15" a="1"/>
  <c r="AS10" i="15" s="1"/>
  <c r="AS11" i="15" s="1" a="1"/>
  <c r="AS11" i="15" s="1"/>
  <c r="AS3" i="15" a="1"/>
  <c r="AS3" i="15" s="1"/>
  <c r="AS4" i="15" s="1" a="1"/>
  <c r="AS4" i="15" s="1"/>
  <c r="AL66" i="15" a="1"/>
  <c r="AL66" i="15" s="1"/>
  <c r="AL67" i="15" s="1" a="1"/>
  <c r="AL67" i="15" s="1"/>
  <c r="AL59" i="15" a="1"/>
  <c r="AL59" i="15" s="1"/>
  <c r="AL60" i="15" s="1" a="1"/>
  <c r="AL60" i="15" s="1"/>
  <c r="AL52" i="15" a="1"/>
  <c r="AL52" i="15" s="1"/>
  <c r="AL53" i="15" s="1" a="1"/>
  <c r="AL53" i="15" s="1"/>
  <c r="AL45" i="15" a="1"/>
  <c r="AL45" i="15" s="1"/>
  <c r="AL46" i="15" s="1" a="1"/>
  <c r="AL46" i="15" s="1"/>
  <c r="AL38" i="15" a="1"/>
  <c r="AL38" i="15" s="1"/>
  <c r="AL39" i="15" s="1" a="1"/>
  <c r="AL39" i="15" s="1"/>
  <c r="AL31" i="15" a="1"/>
  <c r="AL31" i="15" s="1"/>
  <c r="AL32" i="15" s="1" a="1"/>
  <c r="AL32" i="15" s="1"/>
  <c r="AL24" i="15" a="1"/>
  <c r="AL24" i="15" s="1"/>
  <c r="AL25" i="15" s="1" a="1"/>
  <c r="AL25" i="15" s="1"/>
  <c r="AL17" i="15" a="1"/>
  <c r="AL17" i="15" s="1"/>
  <c r="AL18" i="15" s="1" a="1"/>
  <c r="AL18" i="15" s="1"/>
  <c r="AL10" i="15" a="1"/>
  <c r="AL10" i="15" s="1"/>
  <c r="AL11" i="15" s="1" a="1"/>
  <c r="AL11" i="15" s="1"/>
  <c r="AL3" i="15" a="1"/>
  <c r="AL3" i="15" s="1"/>
  <c r="AL4" i="15" s="1" a="1"/>
  <c r="AL4" i="15" s="1"/>
  <c r="AE66" i="15" a="1"/>
  <c r="AE66" i="15" s="1"/>
  <c r="AE67" i="15" s="1" a="1"/>
  <c r="AE67" i="15" s="1"/>
  <c r="AE59" i="15" a="1"/>
  <c r="AE59" i="15" s="1"/>
  <c r="AE60" i="15" s="1" a="1"/>
  <c r="AE60" i="15" s="1"/>
  <c r="AE52" i="15" a="1"/>
  <c r="AE52" i="15" s="1"/>
  <c r="AE53" i="15" s="1" a="1"/>
  <c r="AE53" i="15" s="1"/>
  <c r="AE45" i="15" a="1"/>
  <c r="AE45" i="15" s="1"/>
  <c r="AE46" i="15" s="1" a="1"/>
  <c r="AE46" i="15" s="1"/>
  <c r="AE31" i="15" a="1"/>
  <c r="AE31" i="15" s="1"/>
  <c r="AE32" i="15" s="1" a="1"/>
  <c r="AE32" i="15" s="1"/>
  <c r="AE3" i="15" a="1"/>
  <c r="AE3" i="15" s="1"/>
  <c r="AE4" i="15" s="1" a="1"/>
  <c r="AE4" i="15" s="1"/>
  <c r="AE38" i="15" a="1"/>
  <c r="AE38" i="15" s="1"/>
  <c r="AE39" i="15" s="1" a="1"/>
  <c r="AE39" i="15" s="1"/>
  <c r="AE24" i="15" a="1"/>
  <c r="AE24" i="15" s="1"/>
  <c r="AE25" i="15" s="1" a="1"/>
  <c r="AE25" i="15" s="1"/>
  <c r="AE17" i="15" a="1"/>
  <c r="AE17" i="15" s="1"/>
  <c r="AE18" i="15" s="1" a="1"/>
  <c r="AE18" i="15" s="1"/>
  <c r="AE10" i="15" a="1"/>
  <c r="AE10" i="15" s="1"/>
  <c r="AE11" i="15" s="1" a="1"/>
  <c r="AE11" i="15" s="1"/>
  <c r="X66" i="15" a="1"/>
  <c r="X66" i="15" s="1"/>
  <c r="X67" i="15" s="1" a="1"/>
  <c r="X67" i="15" s="1"/>
  <c r="X59" i="15" a="1"/>
  <c r="X59" i="15" s="1"/>
  <c r="X60" i="15" s="1" a="1"/>
  <c r="X60" i="15" s="1"/>
  <c r="X52" i="15" a="1"/>
  <c r="X52" i="15" s="1"/>
  <c r="X53" i="15" s="1" a="1"/>
  <c r="X53" i="15" s="1"/>
  <c r="X45" i="15" a="1"/>
  <c r="X45" i="15" s="1"/>
  <c r="X46" i="15" s="1" a="1"/>
  <c r="X46" i="15" s="1"/>
  <c r="X38" i="15" a="1"/>
  <c r="X38" i="15" s="1"/>
  <c r="X39" i="15" s="1" a="1"/>
  <c r="X39" i="15" s="1"/>
  <c r="X31" i="15" a="1"/>
  <c r="X31" i="15" s="1"/>
  <c r="X32" i="15" s="1" a="1"/>
  <c r="X32" i="15" s="1"/>
  <c r="X24" i="15" a="1"/>
  <c r="X24" i="15" s="1"/>
  <c r="X25" i="15" s="1" a="1"/>
  <c r="X25" i="15" s="1"/>
  <c r="X17" i="15" a="1"/>
  <c r="X17" i="15" s="1"/>
  <c r="X18" i="15" s="1" a="1"/>
  <c r="X18" i="15" s="1"/>
  <c r="X11" i="15" a="1"/>
  <c r="X11" i="15" s="1"/>
  <c r="X3" i="15" a="1"/>
  <c r="X3" i="15" s="1"/>
  <c r="X4" i="15" s="1" a="1"/>
  <c r="X4" i="15" s="1"/>
  <c r="Q3" i="15" a="1"/>
  <c r="Q3" i="15" s="1"/>
  <c r="Q4" i="15" s="1" a="1"/>
  <c r="Q4" i="15" s="1"/>
  <c r="Q24" i="15" a="1"/>
  <c r="Q24" i="15" s="1"/>
  <c r="Q25" i="15" s="1" a="1"/>
  <c r="Q25" i="15" s="1"/>
  <c r="Q66" i="15" a="1"/>
  <c r="Q66" i="15" s="1"/>
  <c r="Q67" i="15" s="1" a="1"/>
  <c r="Q67" i="15" s="1"/>
  <c r="Q59" i="15" a="1"/>
  <c r="Q59" i="15" s="1"/>
  <c r="Q60" i="15" s="1" a="1"/>
  <c r="Q60" i="15" s="1"/>
  <c r="Q52" i="15" a="1"/>
  <c r="Q52" i="15" s="1"/>
  <c r="Q53" i="15" s="1" a="1"/>
  <c r="Q53" i="15" s="1"/>
  <c r="Q45" i="15" a="1"/>
  <c r="Q45" i="15" s="1"/>
  <c r="Q46" i="15" s="1" a="1"/>
  <c r="Q46" i="15" s="1"/>
  <c r="Q38" i="15" a="1"/>
  <c r="Q38" i="15" s="1"/>
  <c r="Q39" i="15" s="1" a="1"/>
  <c r="Q39" i="15" s="1"/>
  <c r="Q31" i="15" a="1"/>
  <c r="Q31" i="15" s="1"/>
  <c r="Q32" i="15" s="1" a="1"/>
  <c r="Q32" i="15" s="1"/>
  <c r="Q17" i="15" a="1"/>
  <c r="Q17" i="15" s="1"/>
  <c r="Q18" i="15" s="1" a="1"/>
  <c r="Q18" i="15" s="1"/>
  <c r="Q11" i="15" a="1"/>
  <c r="Q11" i="15" s="1"/>
  <c r="J66" i="15" a="1"/>
  <c r="J66" i="15" s="1"/>
  <c r="J67" i="15" s="1" a="1"/>
  <c r="J67" i="15" s="1"/>
  <c r="J59" i="15" a="1"/>
  <c r="J59" i="15" s="1"/>
  <c r="J60" i="15" s="1" a="1"/>
  <c r="J60" i="15" s="1"/>
  <c r="J52" i="15" a="1"/>
  <c r="J52" i="15" s="1"/>
  <c r="J53" i="15" s="1" a="1"/>
  <c r="J53" i="15" s="1"/>
  <c r="J45" i="15" a="1"/>
  <c r="J45" i="15" s="1"/>
  <c r="J46" i="15" s="1" a="1"/>
  <c r="J46" i="15" s="1"/>
  <c r="J38" i="15" a="1"/>
  <c r="J38" i="15" s="1"/>
  <c r="J39" i="15" s="1" a="1"/>
  <c r="J39" i="15" s="1"/>
  <c r="J31" i="15" a="1"/>
  <c r="J31" i="15" s="1"/>
  <c r="J32" i="15" s="1" a="1"/>
  <c r="J32" i="15" s="1"/>
  <c r="J24" i="15" a="1"/>
  <c r="J24" i="15" s="1"/>
  <c r="J25" i="15" s="1" a="1"/>
  <c r="J25" i="15" s="1"/>
  <c r="J17" i="15" a="1"/>
  <c r="J17" i="15" s="1"/>
  <c r="J18" i="15" s="1" a="1"/>
  <c r="J18" i="15" s="1"/>
  <c r="J10" i="15" a="1"/>
  <c r="J10" i="15" s="1"/>
  <c r="J11" i="15" s="1" a="1"/>
  <c r="J11" i="15" s="1"/>
  <c r="J3" i="15" a="1"/>
  <c r="J3" i="15" s="1"/>
  <c r="J4" i="15" s="1" a="1"/>
  <c r="J4" i="15" s="1"/>
  <c r="D120" i="62" l="1" a="1"/>
  <c r="D120" i="62" s="1"/>
  <c r="Z83" i="62" s="1" a="1"/>
  <c r="Z83" i="62" s="1"/>
  <c r="D120" i="63" a="1"/>
  <c r="D120" i="63" s="1"/>
  <c r="AM69" i="59" a="1"/>
  <c r="AM69" i="59" s="1"/>
  <c r="AZ69" i="59" s="1" a="1"/>
  <c r="AZ69" i="59" s="1"/>
  <c r="AI50" i="59" a="1"/>
  <c r="AI50" i="59" s="1"/>
  <c r="AI37" i="59" s="1" a="1"/>
  <c r="AI37" i="59" s="1"/>
  <c r="AI29" i="59" s="1" a="1"/>
  <c r="AI29" i="59" s="1"/>
  <c r="AM29" i="59" s="1" a="1"/>
  <c r="AM29" i="59" s="1"/>
  <c r="AZ29" i="59" s="1" a="1"/>
  <c r="AZ29" i="59" s="1"/>
  <c r="J69" i="62" l="1" a="1"/>
  <c r="J69" i="62" s="1"/>
  <c r="J69" i="63" a="1"/>
  <c r="J69" i="63" s="1"/>
  <c r="G29" i="63" a="1"/>
  <c r="G29" i="63" s="1"/>
  <c r="G29" i="62" a="1"/>
  <c r="G29" i="62" s="1"/>
  <c r="P29" i="62" s="1" a="1"/>
  <c r="P29" i="62" s="1"/>
  <c r="P37" i="62" s="1" a="1"/>
  <c r="P37" i="62" s="1"/>
  <c r="P42" i="62" l="1" a="1"/>
  <c r="P42" i="62" s="1"/>
  <c r="AE29" i="62" a="1"/>
  <c r="AE29" i="62" s="1"/>
  <c r="P29" i="63" a="1"/>
  <c r="P29" i="63" s="1"/>
  <c r="X50" i="62" a="1"/>
  <c r="X50" i="62" s="1"/>
  <c r="P37" i="63" l="1" a="1"/>
  <c r="P37" i="63" s="1"/>
  <c r="P42" i="63" s="1" a="1"/>
  <c r="P42" i="63" s="1"/>
  <c r="P55" i="62" a="1"/>
  <c r="P55" i="62" s="1"/>
  <c r="P50" i="62" a="1"/>
  <c r="P50" i="62" s="1"/>
  <c r="P60" i="62" s="1" a="1"/>
  <c r="P60" i="62" s="1"/>
  <c r="P50" i="63" l="1" a="1"/>
  <c r="P50" i="63" s="1"/>
  <c r="P55" i="63" a="1"/>
  <c r="P55" i="63" s="1"/>
  <c r="AE37" i="62" a="1"/>
  <c r="AE37" i="62" s="1"/>
  <c r="P69" i="62" a="1"/>
  <c r="P69" i="62" s="1"/>
  <c r="P94" i="62" l="1" a="1"/>
  <c r="P94" i="62" s="1"/>
  <c r="P83" i="62" a="1"/>
  <c r="P83" i="62" s="1"/>
  <c r="P105" i="62" s="1" a="1"/>
  <c r="P105" i="62" s="1"/>
  <c r="P60" i="63" a="1"/>
  <c r="P60" i="63" s="1"/>
  <c r="P69" i="63" l="1" a="1"/>
  <c r="P69" i="63" s="1"/>
  <c r="P120" i="62" a="1"/>
  <c r="P120" i="62" s="1"/>
  <c r="AE69" i="62" a="1"/>
  <c r="AE69" i="62" s="1"/>
  <c r="P141" i="62" l="1" a="1"/>
  <c r="P141" i="62" s="1"/>
  <c r="P132" i="62" a="1"/>
  <c r="P132" i="62" s="1"/>
  <c r="P150" i="62" s="1" a="1"/>
  <c r="P150" i="62" s="1"/>
  <c r="P94" i="63" a="1"/>
  <c r="P94" i="63" s="1"/>
  <c r="P83" i="63" a="1"/>
  <c r="P83" i="63" s="1"/>
  <c r="P105" i="63" l="1" a="1"/>
  <c r="P105" i="63" s="1"/>
  <c r="AE120" i="62" a="1"/>
  <c r="AE120" i="62" s="1"/>
  <c r="P162" i="62" a="1"/>
  <c r="P162" i="62" s="1"/>
  <c r="P120" i="63" l="1" a="1"/>
  <c r="P120" i="63" s="1"/>
  <c r="P141" i="63" s="1" a="1"/>
  <c r="P141" i="63" s="1"/>
  <c r="P174" i="62" a="1"/>
  <c r="P174" i="62" s="1"/>
  <c r="P183" i="62" s="1" a="1"/>
  <c r="P183" i="62" s="1"/>
  <c r="P196" i="62" s="1" a="1"/>
  <c r="P196" i="62" s="1"/>
  <c r="P210" i="62" s="1" a="1"/>
  <c r="P210" i="62" s="1"/>
  <c r="AE132" i="62" a="1"/>
  <c r="AE132" i="62" s="1"/>
  <c r="P132" i="63" l="1" a="1"/>
  <c r="P132" i="63" s="1"/>
  <c r="P150" i="63" s="1" a="1"/>
  <c r="P150" i="63" s="1"/>
  <c r="P221" i="62" a="1"/>
  <c r="P221" i="62" s="1"/>
  <c r="P235" i="62" s="1" a="1"/>
  <c r="P235" i="62" s="1"/>
  <c r="P246" i="62" s="1" a="1"/>
  <c r="P246" i="62" s="1"/>
  <c r="P248" i="62" s="1" a="1"/>
  <c r="P248" i="62" s="1"/>
  <c r="AE196" i="62" a="1"/>
  <c r="AE196" i="62" s="1"/>
  <c r="AE162" i="62" a="1"/>
  <c r="AE162" i="62" s="1"/>
  <c r="P162" i="63" l="1" a="1"/>
  <c r="P162" i="63" s="1"/>
  <c r="P174" i="63" a="1"/>
  <c r="P174" i="63" s="1"/>
  <c r="P262" i="62" a="1"/>
  <c r="P262" i="62" s="1"/>
  <c r="P273" i="62" s="1" a="1"/>
  <c r="P273" i="62" s="1"/>
  <c r="P284" i="62" s="1" a="1"/>
  <c r="P284" i="62" s="1"/>
  <c r="P286" i="62" s="1"/>
  <c r="AI235" i="62" a="1"/>
  <c r="AI235" i="62" s="1"/>
  <c r="AE210" i="62" s="1" a="1"/>
  <c r="AE210" i="62" s="1"/>
  <c r="AI210" i="62" l="1" a="1"/>
  <c r="AI210" i="62" s="1"/>
  <c r="AI196" i="62" s="1" a="1"/>
  <c r="AI196" i="62" s="1"/>
  <c r="P183" i="63" a="1"/>
  <c r="P183" i="63" s="1"/>
  <c r="P196" i="63" s="1" a="1"/>
  <c r="P196" i="63" s="1"/>
  <c r="P210" i="63" l="1" a="1"/>
  <c r="P210" i="63" s="1"/>
  <c r="P221" i="63" s="1" a="1"/>
  <c r="P221" i="63" s="1"/>
  <c r="P235" i="63" s="1" a="1"/>
  <c r="P235" i="63" s="1"/>
  <c r="AM196" i="62" a="1"/>
  <c r="AM196" i="62" s="1"/>
  <c r="AZ196" i="62" s="1" a="1"/>
  <c r="AZ196" i="62" s="1"/>
  <c r="AI174" i="62" a="1"/>
  <c r="AI174" i="62" s="1"/>
  <c r="AI162" i="62" s="1" a="1"/>
  <c r="AI162" i="62" s="1"/>
  <c r="AI132" i="62" s="1" a="1"/>
  <c r="AI132" i="62" s="1"/>
  <c r="AI120" i="62" s="1" a="1"/>
  <c r="AI120" i="62" s="1"/>
  <c r="P246" i="63" l="1" a="1"/>
  <c r="P246" i="63" s="1"/>
  <c r="P248" i="63" s="1" a="1"/>
  <c r="P248" i="63" s="1"/>
  <c r="AI83" i="62" a="1"/>
  <c r="AI83" i="62" s="1"/>
  <c r="AI69" i="62" s="1" a="1"/>
  <c r="AI69" i="62" s="1"/>
  <c r="AM120" i="62" a="1"/>
  <c r="AM120" i="62" s="1"/>
  <c r="AZ120" i="62" s="1" a="1"/>
  <c r="AZ120" i="62" s="1"/>
  <c r="P262" i="63" l="1" a="1"/>
  <c r="P262" i="63" s="1"/>
  <c r="P273" i="63" s="1" a="1"/>
  <c r="P273" i="63" s="1"/>
  <c r="P284" i="63" s="1" a="1"/>
  <c r="P284" i="63" s="1"/>
  <c r="P286" i="63" s="1"/>
  <c r="AI50" i="62" a="1"/>
  <c r="AI50" i="62" s="1"/>
  <c r="AI37" i="62" s="1" a="1"/>
  <c r="AI37" i="62" s="1"/>
  <c r="AI29" i="62" s="1" a="1"/>
  <c r="AI29" i="62" s="1"/>
  <c r="AM29" i="62" s="1" a="1"/>
  <c r="AM29" i="62" s="1"/>
  <c r="AZ29" i="62" s="1" a="1"/>
  <c r="AZ29" i="62" s="1"/>
  <c r="AM69" i="62" a="1"/>
  <c r="AM69" i="62" s="1"/>
  <c r="AZ69" i="62" s="1" a="1"/>
  <c r="AZ69" i="6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<sst xmlns="http://schemas.openxmlformats.org/spreadsheetml/2006/main" count="1331" uniqueCount="314">
  <si>
    <t>Input</t>
  </si>
  <si>
    <t>Output</t>
  </si>
  <si>
    <t>X=Rand, feat=4, batch=1</t>
  </si>
  <si>
    <t>Linear</t>
  </si>
  <si>
    <t>X, dim=5</t>
  </si>
  <si>
    <t>X</t>
  </si>
  <si>
    <t>ReLU</t>
  </si>
  <si>
    <t>Y</t>
  </si>
  <si>
    <t>Metadata</t>
  </si>
  <si>
    <t>Original</t>
  </si>
  <si>
    <t>class</t>
  </si>
  <si>
    <t>names</t>
  </si>
  <si>
    <t>0, 1, 2, 3, 4, 5, 6, 7, 8, 9</t>
  </si>
  <si>
    <t>samples</t>
  </si>
  <si>
    <t>rows</t>
  </si>
  <si>
    <t>cols</t>
  </si>
  <si>
    <t>Horizontal Flip</t>
  </si>
  <si>
    <t>90 CCW</t>
  </si>
  <si>
    <t/>
  </si>
  <si>
    <t>Datasets</t>
  </si>
  <si>
    <t>Name</t>
  </si>
  <si>
    <t>Cls</t>
  </si>
  <si>
    <t>Smp</t>
  </si>
  <si>
    <t>Row</t>
  </si>
  <si>
    <t>Col</t>
  </si>
  <si>
    <t>Gaps</t>
  </si>
  <si>
    <t>tinyDigits</t>
  </si>
  <si>
    <t>tinyAlphas</t>
  </si>
  <si>
    <t>Augmentation</t>
  </si>
  <si>
    <t>List</t>
  </si>
  <si>
    <t>Per sample Randomization</t>
  </si>
  <si>
    <t>None</t>
  </si>
  <si>
    <t>Class</t>
  </si>
  <si>
    <t>Vertical Flip</t>
  </si>
  <si>
    <t>Sample</t>
  </si>
  <si>
    <t>180 Rotation</t>
  </si>
  <si>
    <t>90 CW</t>
  </si>
  <si>
    <t>Shift Up</t>
  </si>
  <si>
    <t>Shift Down</t>
  </si>
  <si>
    <t>Shift Left</t>
  </si>
  <si>
    <t>Shift Right</t>
  </si>
  <si>
    <t>Noise</t>
  </si>
  <si>
    <t>Operations</t>
  </si>
  <si>
    <t>Type</t>
  </si>
  <si>
    <t>batch</t>
  </si>
  <si>
    <t>_num</t>
  </si>
  <si>
    <t>Flatten</t>
  </si>
  <si>
    <t>Tanh</t>
  </si>
  <si>
    <t>GELU</t>
  </si>
  <si>
    <t>Softmax</t>
  </si>
  <si>
    <t>LayerNorm</t>
  </si>
  <si>
    <t>Y'</t>
  </si>
  <si>
    <t>CELoss</t>
  </si>
  <si>
    <t>dim</t>
  </si>
  <si>
    <t>MSELoss</t>
  </si>
  <si>
    <t>loss</t>
  </si>
  <si>
    <t>CE</t>
  </si>
  <si>
    <t>MSE</t>
  </si>
  <si>
    <t>keys</t>
  </si>
  <si>
    <t>t</t>
  </si>
  <si>
    <t>p</t>
  </si>
  <si>
    <t>c</t>
  </si>
  <si>
    <t>q</t>
  </si>
  <si>
    <t>torch.randn(</t>
  </si>
  <si>
    <t>,</t>
  </si>
  <si>
    <t>)</t>
  </si>
  <si>
    <t>ohe</t>
  </si>
  <si>
    <t>torch.tensor(</t>
  </si>
  <si>
    <t>loss_fn = nn.CrossEntropyLoss (</t>
  </si>
  <si>
    <t>nn.Linear (</t>
  </si>
  <si>
    <t>nn.ReLU (</t>
  </si>
  <si>
    <t>nn.LayerNorm (</t>
  </si>
  <si>
    <t>Sofrmax</t>
  </si>
  <si>
    <t>nn.Softmax (dim=1</t>
  </si>
  <si>
    <t>model</t>
  </si>
  <si>
    <t>model = nn.Sequential(</t>
  </si>
  <si>
    <t>pred</t>
  </si>
  <si>
    <t>model(</t>
  </si>
  <si>
    <t>loss_fn(</t>
  </si>
  <si>
    <t>X=Rand, feat=7, batch=4</t>
  </si>
  <si>
    <t>X, dim=6</t>
  </si>
  <si>
    <t>X=Rand, feat=7, batch=10</t>
  </si>
  <si>
    <t>X=Rand, feat=6, batch=10</t>
  </si>
  <si>
    <t>X=tinyDigits, batch=10</t>
  </si>
  <si>
    <t>X=tinyDigits, batch=5</t>
  </si>
  <si>
    <t>X, dim=12</t>
  </si>
  <si>
    <t>X, dim=4</t>
  </si>
  <si>
    <t>X, dim=3</t>
  </si>
  <si>
    <t>X, dim=10</t>
  </si>
  <si>
    <t>L</t>
  </si>
  <si>
    <t>X, dim=8</t>
  </si>
  <si>
    <t>DO NOT CHANGE ANYTHING IN THIS TAB!</t>
  </si>
  <si>
    <t>Dataset</t>
  </si>
  <si>
    <t>X=image, size=3, batch=7</t>
  </si>
  <si>
    <t>Rand</t>
  </si>
  <si>
    <t>Layers ↓</t>
  </si>
  <si>
    <t>Dims ↓</t>
  </si>
  <si>
    <t>Batch ↓</t>
  </si>
  <si>
    <t>No backprop</t>
  </si>
  <si>
    <t>1 Epochs</t>
  </si>
  <si>
    <t>2 Epochs</t>
  </si>
  <si>
    <t>3 Epochs</t>
  </si>
  <si>
    <t>4 Epochs</t>
  </si>
  <si>
    <t>5 Epochs</t>
  </si>
  <si>
    <t>Backprop? ↓</t>
  </si>
  <si>
    <t>Epochs ↓</t>
  </si>
  <si>
    <t>input ⟶</t>
  </si>
  <si>
    <t>✍️ Architect</t>
  </si>
  <si>
    <t>Image</t>
  </si>
  <si>
    <t>👷🏼 Blueprint</t>
  </si>
  <si>
    <t>X=Rand</t>
  </si>
  <si>
    <t xml:space="preserve">Class ⟶  </t>
  </si>
  <si>
    <t>W₀|b₀</t>
  </si>
  <si>
    <t>⟶</t>
  </si>
  <si>
    <t>X₀ = Linear(X)</t>
  </si>
  <si>
    <t>✏️ X₀  = W₀ X + b₀</t>
  </si>
  <si>
    <t>0. Linear</t>
  </si>
  <si>
    <t>↓</t>
  </si>
  <si>
    <t>W₃|b₃</t>
  </si>
  <si>
    <t>X₃ = Linear(X₂)</t>
  </si>
  <si>
    <t>✏️ X₃  = W₃ X₂ + b₃</t>
  </si>
  <si>
    <t>3. Linear</t>
  </si>
  <si>
    <t>✏️ 𝑒 = exp(X₃)</t>
  </si>
  <si>
    <t>✏️ ∑𝑒</t>
  </si>
  <si>
    <t>✏️ p = target. 𝓁</t>
  </si>
  <si>
    <t>Forward ▼</t>
  </si>
  <si>
    <t>Learning rate, 𝜂 =</t>
  </si>
  <si>
    <t>Backprop ▲</t>
  </si>
  <si>
    <t>↑</t>
  </si>
  <si>
    <t>G₃=Gradient(G₄)</t>
  </si>
  <si>
    <t>𝒹W₃</t>
  </si>
  <si>
    <t>✏️  𝒹W₃ = G₃⊙X₂ᵀ</t>
  </si>
  <si>
    <t>W'₃</t>
  </si>
  <si>
    <t>✏️ W'₃ = W₃ − 𝜂.𝒹W₃</t>
  </si>
  <si>
    <t>✏️ (W₃|b₃)ᵀ</t>
  </si>
  <si>
    <t>G₂=Gradient(G₃)</t>
  </si>
  <si>
    <t>✏️ G₂= W₃ᵀ G₃</t>
  </si>
  <si>
    <t>G₁=Gradient(G₂)</t>
  </si>
  <si>
    <t>G₀=Gradient(G₁)</t>
  </si>
  <si>
    <t>𝒹W₀</t>
  </si>
  <si>
    <t>✏️  𝒹W₀ = G₀⊙Xᵀ</t>
  </si>
  <si>
    <t>W'₀</t>
  </si>
  <si>
    <t>✏️ W'₀ = W₀ − 𝜂.𝒹W₀</t>
  </si>
  <si>
    <t>Weight Update</t>
  </si>
  <si>
    <t>PyTorch Code</t>
  </si>
  <si>
    <t>&gt;&gt;</t>
  </si>
  <si>
    <t>import torch</t>
  </si>
  <si>
    <t>import torch.nn as nn</t>
  </si>
  <si>
    <t xml:space="preserve">    nn.Tanh(),</t>
  </si>
  <si>
    <t>loss_fn = nn.CrossEntropyLoss()</t>
  </si>
  <si>
    <t># Forward pass</t>
  </si>
  <si>
    <t>X_out = model(X)</t>
  </si>
  <si>
    <t>L = loss_fn(X_out, target)</t>
  </si>
  <si>
    <t># === Training Loop ===</t>
  </si>
  <si>
    <t>optimizer = torch.optim.SGD(</t>
  </si>
  <si>
    <t xml:space="preserve">    model.parameters(), lr=0.1)</t>
  </si>
  <si>
    <t>for epoch in range(num_epochs):</t>
  </si>
  <si>
    <t xml:space="preserve">    X_out = model(X)</t>
  </si>
  <si>
    <t xml:space="preserve">    L = loss_fn(X_out, target)</t>
  </si>
  <si>
    <t xml:space="preserve">    optimizer.zero_grad()  # reset dW</t>
  </si>
  <si>
    <t xml:space="preserve">    L.backward()           # dL/dW</t>
  </si>
  <si>
    <t xml:space="preserve">    optimizer.step()       # W -= lr * dW</t>
  </si>
  <si>
    <t>Epoch-1</t>
  </si>
  <si>
    <t>Inference</t>
  </si>
  <si>
    <t>🎬 Dashboard</t>
  </si>
  <si>
    <t>Epochs</t>
  </si>
  <si>
    <t>Loss</t>
  </si>
  <si>
    <t>Gradients</t>
  </si>
  <si>
    <t>⟶ ⟶ ⟶ ⟶</t>
  </si>
  <si>
    <t>G₅ (ep:0)</t>
  </si>
  <si>
    <t>G₅ (ep:1)</t>
  </si>
  <si>
    <t>G₄ (ep:0)</t>
  </si>
  <si>
    <t>G₄ (ep:1)</t>
  </si>
  <si>
    <t>G₃ (ep:0)</t>
  </si>
  <si>
    <t>G₃ (ep:1)</t>
  </si>
  <si>
    <t>G₂ (ep:0)</t>
  </si>
  <si>
    <t>G₂ (ep:1)</t>
  </si>
  <si>
    <t>G₁ (ep:0)</t>
  </si>
  <si>
    <t>G₁ (ep:1)</t>
  </si>
  <si>
    <t>Gradient Flow</t>
  </si>
  <si>
    <t>Weights</t>
  </si>
  <si>
    <t>𝒹W₀ (ep:0)</t>
  </si>
  <si>
    <t>𝒹W₀ (ep:1)</t>
  </si>
  <si>
    <t>𝒹W₃ (ep:0)</t>
  </si>
  <si>
    <t>𝒹W₃ (ep:1)</t>
  </si>
  <si>
    <t>Ep</t>
  </si>
  <si>
    <t>G₀</t>
  </si>
  <si>
    <t>G₁</t>
  </si>
  <si>
    <t>G₂</t>
  </si>
  <si>
    <t>G₃</t>
  </si>
  <si>
    <t>G₄</t>
  </si>
  <si>
    <t>Mean Gradient</t>
  </si>
  <si>
    <t>Visualizations</t>
  </si>
  <si>
    <t>✅  Done!</t>
  </si>
  <si>
    <t>target = OHE(class=10)</t>
  </si>
  <si>
    <t>X₁₁ = Softmax(X₁₀)</t>
  </si>
  <si>
    <t>✏️ 𝑒 = exp(X₁₀)</t>
  </si>
  <si>
    <t>✏️ X₁₁  = 𝑒∕∑𝑒</t>
  </si>
  <si>
    <t>11. Softmax</t>
  </si>
  <si>
    <t>L₁₂ = CELoss(X₁₁)</t>
  </si>
  <si>
    <t>✏️ 𝓁 = ln(X₁₁)</t>
  </si>
  <si>
    <t>✏️ L₁₂  = −∑p</t>
  </si>
  <si>
    <t>mean(L₁₂ )</t>
  </si>
  <si>
    <t>12. CELoss</t>
  </si>
  <si>
    <t>G₁₁=Gradient(X₁₁)</t>
  </si>
  <si>
    <t>✏️G₁₁ = −X₁₁/target</t>
  </si>
  <si>
    <t>✏️  s₁₁ = Σ(G₁₁⊙X₁₁)</t>
  </si>
  <si>
    <t>G₁₀=Gradient(G₁₁)</t>
  </si>
  <si>
    <t>✏️  G₁₀ = X₁₁⊙(G₁₁−s₁₁)</t>
  </si>
  <si>
    <t>G₉=Gradient(G₁₀)</t>
  </si>
  <si>
    <t>G₈=Gradient(G₉)</t>
  </si>
  <si>
    <t>G₇=Gradient(G₈)</t>
  </si>
  <si>
    <t>G₆=Gradient(G₇)</t>
  </si>
  <si>
    <t>G₅=Gradient(G₆)</t>
  </si>
  <si>
    <t>G₄=Gradient(G₅)</t>
  </si>
  <si>
    <t>✏️  G₀ = G₁⊙𝒹₁</t>
  </si>
  <si>
    <t xml:space="preserve">    nn.Linear(10,8),</t>
  </si>
  <si>
    <t xml:space="preserve">    nn.ReLU(),</t>
  </si>
  <si>
    <t xml:space="preserve">    nn.GELU(),</t>
  </si>
  <si>
    <t>G₁₂ (ep:0)</t>
  </si>
  <si>
    <t>G₁₂ (ep:1)</t>
  </si>
  <si>
    <t>G₁₁ (ep:0)</t>
  </si>
  <si>
    <t>G₁₁ (ep:1)</t>
  </si>
  <si>
    <t>G₁₀ (ep:0)</t>
  </si>
  <si>
    <t>G₁₀ (ep:1)</t>
  </si>
  <si>
    <t>G₉ (ep:0)</t>
  </si>
  <si>
    <t>G₉ (ep:1)</t>
  </si>
  <si>
    <t>G₈ (ep:0)</t>
  </si>
  <si>
    <t>G₈ (ep:1)</t>
  </si>
  <si>
    <t>G₇ (ep:0)</t>
  </si>
  <si>
    <t>G₇ (ep:1)</t>
  </si>
  <si>
    <t>G₆ (ep:0)</t>
  </si>
  <si>
    <t>G₆ (ep:1)</t>
  </si>
  <si>
    <t>G₅</t>
  </si>
  <si>
    <t>G₆</t>
  </si>
  <si>
    <t>G₇</t>
  </si>
  <si>
    <t>G₈</t>
  </si>
  <si>
    <t>G₉</t>
  </si>
  <si>
    <t>G₁₀</t>
  </si>
  <si>
    <t>G₁₁</t>
  </si>
  <si>
    <t>X=Rand, feat=7, batch=3</t>
  </si>
  <si>
    <t>X₁ = GELU(X₀)</t>
  </si>
  <si>
    <t>✏️ u₁ = 1+erf(X₀/√2)</t>
  </si>
  <si>
    <t xml:space="preserve">✏️ X₁ = 0.5X₀ ⊙ u1 </t>
  </si>
  <si>
    <t>1. GELU</t>
  </si>
  <si>
    <t>X₂ = Tanh(X₁)</t>
  </si>
  <si>
    <t>✏️ 𝑒 = exp(X₁)</t>
  </si>
  <si>
    <t>✏️ 𝑒⁻ = exp(−X₁)</t>
  </si>
  <si>
    <t>✏️ X₂  = (𝑒-𝑒⁻)∕(𝑒+𝑒⁻)</t>
  </si>
  <si>
    <t>2. Tanh</t>
  </si>
  <si>
    <t>X₄ = Tanh(X₃)</t>
  </si>
  <si>
    <t>✏️ 𝑒⁻ = exp(−X₃)</t>
  </si>
  <si>
    <t>✏️ X₄  = (𝑒-𝑒⁻)∕(𝑒+𝑒⁻)</t>
  </si>
  <si>
    <t>4. Tanh</t>
  </si>
  <si>
    <t>W₅|b₅</t>
  </si>
  <si>
    <t>X₅ = Linear(X₄)</t>
  </si>
  <si>
    <t>✏️ X₅  = W₅ X₄ + b₅</t>
  </si>
  <si>
    <t>5. Linear</t>
  </si>
  <si>
    <t>X₆ = Tanh(X₅)</t>
  </si>
  <si>
    <t>✏️ 𝑒 = exp(X₅)</t>
  </si>
  <si>
    <t>✏️ 𝑒⁻ = exp(−X₅)</t>
  </si>
  <si>
    <t>✏️ X₆  = (𝑒-𝑒⁻)∕(𝑒+𝑒⁻)</t>
  </si>
  <si>
    <t>6. Tanh</t>
  </si>
  <si>
    <t>X₇ = ReLU(X₆)</t>
  </si>
  <si>
    <t>✏️ X₇  = max(X₆ , 0)</t>
  </si>
  <si>
    <t>7. ReLU</t>
  </si>
  <si>
    <t>X₈ = GELU(X₇)</t>
  </si>
  <si>
    <t>✏️ u₈ = 1+erf(X₇/√2)</t>
  </si>
  <si>
    <t xml:space="preserve">✏️ X₈ = 0.5X₇ ⊙ u8 </t>
  </si>
  <si>
    <t>8. GELU</t>
  </si>
  <si>
    <t>W₉|b₉</t>
  </si>
  <si>
    <t>X₉ = Linear(X₈)</t>
  </si>
  <si>
    <t>✏️ X₉  = W₉ X₈ + b₉</t>
  </si>
  <si>
    <t>9. Linear</t>
  </si>
  <si>
    <t>X₁₀ = GELU(X₉)</t>
  </si>
  <si>
    <t>✏️ u₁₀ = 1+erf(X₉/√2)</t>
  </si>
  <si>
    <t xml:space="preserve">✏️ X₁₀ = 0.5X₉ ⊙ u10 </t>
  </si>
  <si>
    <t>10. GELU</t>
  </si>
  <si>
    <t>✏️ 𝒹₁₀=u₁₀/2+X₁₀⊙𝑒(-X₁₀²/2)/√(2𝜋)</t>
  </si>
  <si>
    <t>✏️  G₉ = G₁₀⊙𝒹₁₀</t>
  </si>
  <si>
    <t>𝒹W₉</t>
  </si>
  <si>
    <t>✏️  𝒹W₉ = G₉⊙X₈ᵀ</t>
  </si>
  <si>
    <t>W'₉</t>
  </si>
  <si>
    <t>✏️ W'₉ = W₉ − 𝜂.𝒹W₉</t>
  </si>
  <si>
    <t>✏️ (W₉|b₉)ᵀ</t>
  </si>
  <si>
    <t>✏️ G₈= W₉ᵀ G₉</t>
  </si>
  <si>
    <t>✏️ 𝒹₈=u₈/2+X₈⊙𝑒(-X₈²/2)/√(2𝜋)</t>
  </si>
  <si>
    <t>✏️  G₇ = G₈⊙𝒹₈</t>
  </si>
  <si>
    <t>✏️  𝒹₇ = 1 if X₇&gt;0; else 0</t>
  </si>
  <si>
    <t>✏️  G₆ = G₇⊙𝒹₇</t>
  </si>
  <si>
    <t>✏️ 𝒹₆=1-X₆²</t>
  </si>
  <si>
    <t>✏️ G₅=𝒹₆⊙𝒹₆</t>
  </si>
  <si>
    <t>𝒹W₅</t>
  </si>
  <si>
    <t>✏️  𝒹W₅ = G₅⊙X₄ᵀ</t>
  </si>
  <si>
    <t>W'₅</t>
  </si>
  <si>
    <t>✏️ W'₅ = W₅ − 𝜂.𝒹W₅</t>
  </si>
  <si>
    <t>✏️ (W₅|b₅)ᵀ</t>
  </si>
  <si>
    <t>✏️ G₄= W₅ᵀ G₅</t>
  </si>
  <si>
    <t>✏️ 𝒹₄=1-X₄²</t>
  </si>
  <si>
    <t>✏️ G₃=𝒹₄⊙𝒹₄</t>
  </si>
  <si>
    <t>✏️ 𝒹₂=1-X₂²</t>
  </si>
  <si>
    <t>✏️ G₁=𝒹₂⊙𝒹₂</t>
  </si>
  <si>
    <t>✏️ 𝒹₁=u₁/2+X₁⊙𝑒(-X₁²/2)/√(2𝜋)</t>
  </si>
  <si>
    <t>X = torch.randn(3, 7)</t>
  </si>
  <si>
    <t>target = torch.randint(0, 10, (3,))</t>
  </si>
  <si>
    <t xml:space="preserve">    nn.Linear(7,4),</t>
  </si>
  <si>
    <t xml:space="preserve">    nn.Linear(4,10),</t>
  </si>
  <si>
    <t xml:space="preserve">    nn.Linear(8,10),</t>
  </si>
  <si>
    <t xml:space="preserve">    nn.GELU()</t>
  </si>
  <si>
    <t>𝒹W₅ (ep:0)</t>
  </si>
  <si>
    <t>𝒹W₉ (ep:0)</t>
  </si>
  <si>
    <t>num_epochs = 2</t>
  </si>
  <si>
    <t>𝒹W₅ (ep:1)</t>
  </si>
  <si>
    <t>𝒹W₉ (ep:1)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</si>
</sst>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0" tint="-0.34998626667073579"/>
      <name val="Calibri"/>
      <family val="2"/>
      <scheme val="minor"/>
    </font>
    <font>
      <b/>
      <sz val="8"/>
      <name val="Calibri"/>
      <family val="2"/>
      <scheme val="minor"/>
    </font>
    <font>
      <u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Ink Free"/>
    </font>
    <font>
      <b/>
      <sz val="25"/>
      <color rgb="FF800000"/>
      <name val="Ink Free"/>
    </font>
    <font>
      <sz val="16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sz val="8"/>
      <color theme="0" tint="-0.34998626667073579"/>
      <name val="Ink Free"/>
    </font>
    <font>
      <b/>
      <sz val="16"/>
      <color theme="0"/>
      <name val="Ink Free"/>
    </font>
    <font>
      <sz val="16"/>
      <color theme="0" tint="-0.34998626667073579"/>
      <name val="Ink Free"/>
    </font>
    <font>
      <sz val="8"/>
      <name val="Ink Free"/>
    </font>
    <font>
      <sz val="14"/>
      <color rgb="FFFF0000"/>
      <name val="Calibri"/>
      <family val="2"/>
      <scheme val="minor"/>
    </font>
    <font>
      <sz val="14"/>
      <color theme="0" tint="-0.34998626667073579"/>
      <name val="Calibri"/>
      <family val="2"/>
      <scheme val="minor"/>
    </font>
    <font>
      <b/>
      <sz val="11"/>
      <color theme="1"/>
      <name val="Ink Free"/>
    </font>
    <font>
      <sz val="14"/>
      <color theme="1"/>
      <name val="Calibri"/>
      <family val="2"/>
      <scheme val="minor"/>
    </font>
    <font>
      <b/>
      <sz val="14"/>
      <color rgb="FF800000"/>
      <name val="Ink Free"/>
    </font>
    <font>
      <sz val="14"/>
      <color theme="3" tint="0.59999389629810485"/>
      <name val="Calibri"/>
      <family val="2"/>
      <scheme val="minor"/>
    </font>
    <font>
      <b/>
      <sz val="14"/>
      <color theme="3" tint="0.59999389629810485"/>
      <name val="Ink Free"/>
    </font>
    <font>
      <b/>
      <sz val="14"/>
      <color theme="1" tint="0.499984740745262"/>
      <name val="Ink Free"/>
    </font>
    <font>
      <b/>
      <sz val="14"/>
      <color theme="0" tint="-0.499984740745262"/>
      <name val="Ink Free"/>
    </font>
    <font>
      <b/>
      <sz val="14"/>
      <color rgb="FF9C0006"/>
      <name val="Ink Free"/>
    </font>
    <font>
      <sz val="14"/>
      <color rgb="FF9C0006"/>
      <name val="Ink Free"/>
    </font>
    <font>
      <sz val="10"/>
      <color theme="3" tint="0.39997558519241921"/>
      <name val="Ink Free"/>
    </font>
    <font>
      <sz val="11"/>
      <color rgb="FF000000"/>
      <name val="Ink Free"/>
    </font>
    <font>
      <sz val="11"/>
      <color rgb="FF800080"/>
      <name val="Ink Free"/>
    </font>
    <font>
      <sz val="11"/>
      <color rgb="FF008000"/>
      <name val="Ink Free"/>
    </font>
    <font>
      <sz val="10"/>
      <color rgb="FF008000"/>
      <name val="Calibri"/>
      <family val="2"/>
      <scheme val="minor"/>
    </font>
    <font>
      <sz val="7"/>
      <color rgb="FF808080"/>
      <name val="Ink Free"/>
    </font>
    <font>
      <sz val="10"/>
      <color rgb="FFFF0000"/>
      <name val="Calibri"/>
      <family val="2"/>
      <scheme val="minor"/>
    </font>
    <font>
      <b/>
      <sz val="8"/>
      <color rgb="FF00008B"/>
      <name val="Ink Free"/>
    </font>
    <font>
      <b/>
      <sz val="25"/>
      <color theme="1" tint="0.499984740745262"/>
      <name val="Ink Free"/>
    </font>
    <font>
      <sz val="11"/>
      <color rgb="FF0000FF"/>
      <name val="Ink Free"/>
    </font>
    <font>
      <b/>
      <sz val="11"/>
      <color rgb="FF008000"/>
      <name val="Ink Free"/>
    </font>
    <font>
      <sz val="11"/>
      <color rgb="FFFF8C00"/>
      <name val="Ink Free"/>
    </font>
    <font>
      <sz val="12"/>
      <color theme="0"/>
      <name val="Calibri"/>
      <family val="2"/>
      <scheme val="minor"/>
    </font>
    <font>
      <sz val="11"/>
      <color rgb="FF808080"/>
      <name val="Ink Free"/>
    </font>
    <font>
      <sz val="7"/>
      <color theme="1"/>
      <name val="Ink Free"/>
    </font>
    <font>
      <sz val="9"/>
      <color rgb="FF808080"/>
      <name val="Ink Free"/>
    </font>
    <font>
      <sz val="9"/>
      <color rgb="FFFF0000"/>
      <name val="Ink Free"/>
    </font>
    <font>
      <sz val="10"/>
      <color rgb="FF808080"/>
      <name val="Ink Free"/>
    </font>
    <font>
      <b/>
      <sz val="16"/>
      <color rgb="FFFFFFFF"/>
      <name val="Ink Free"/>
    </font>
    <font>
      <sz val="9"/>
      <color rgb="FF6495ED"/>
      <name val="Ink Free"/>
    </font>
    <font>
      <b/>
      <sz val="9"/>
      <color rgb="FFFFFF00"/>
      <name val="Ink Free"/>
    </font>
    <font>
      <sz val="15"/>
      <color rgb="FF800000"/>
      <name val="Ink Free"/>
    </font>
    <font>
      <sz val="15"/>
      <color rgb="FF000000"/>
      <name val="Ink Free"/>
    </font>
    <font>
      <b/>
      <sz val="11"/>
      <color rgb="FFFFFFFF"/>
      <name val="Ink Free"/>
    </font>
    <font>
      <sz val="9"/>
      <color rgb="FFFF6347"/>
      <name val="Ink Free"/>
    </font>
    <font>
      <b/>
      <sz val="13"/>
      <color rgb="FFFF6347"/>
      <name val="Ink Free"/>
    </font>
    <font>
      <b/>
      <sz val="13"/>
      <color rgb="FFFF8C00"/>
      <name val="Ink Free"/>
    </font>
    <font>
      <sz val="10"/>
      <color rgb="FF000000"/>
      <name val="Ink Free"/>
    </font>
    <font>
      <b/>
      <sz val="15"/>
      <color rgb="FF000000"/>
      <name val="Ink Free"/>
    </font>
    <font>
      <sz val="8"/>
      <color rgb="FF2E8B57"/>
      <name val="Ink Free"/>
    </font>
    <font>
      <b/>
      <sz val="12"/>
      <color rgb="FF808080"/>
      <name val="Ink Free"/>
    </font>
    <font>
      <sz val="12"/>
      <color rgb="FF000000"/>
      <name val="Ink Free"/>
    </font>
    <font>
      <sz val="9"/>
      <color rgb="FF4169E1"/>
      <name val="Ink Free"/>
    </font>
    <font>
      <sz val="11"/>
      <color rgb="FF355C9A"/>
      <name val="Courier New"/>
    </font>
    <font>
      <sz val="13"/>
      <color rgb="FF1F2937"/>
      <name val="Courier New"/>
    </font>
  </fonts>
  <fills count="2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4ED"/>
        <bgColor indexed="64"/>
      </patternFill>
    </fill>
    <fill>
      <patternFill patternType="solid">
        <fgColor rgb="FF305858"/>
        <bgColor indexed="64"/>
      </patternFill>
    </fill>
    <fill>
      <patternFill patternType="solid">
        <fgColor rgb="FFE0F0F0"/>
        <bgColor indexed="64"/>
      </patternFill>
    </fill>
    <fill>
      <patternFill patternType="solid">
        <fgColor rgb="FF6F7368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87CEFA"/>
        <bgColor indexed="64"/>
      </patternFill>
    </fill>
    <fill>
      <patternFill patternType="solid">
        <fgColor rgb="FF8FBC8F"/>
        <bgColor indexed="64"/>
      </patternFill>
    </fill>
    <fill>
      <patternFill patternType="solid">
        <fgColor rgb="FFDDA0DD"/>
        <bgColor indexed="64"/>
      </patternFill>
    </fill>
    <fill>
      <patternFill patternType="solid">
        <fgColor rgb="FFE5EBF5"/>
        <bgColor indexed="64"/>
      </patternFill>
    </fill>
    <fill>
      <patternFill patternType="solid">
        <fgColor rgb="FFF6F8FC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A6A6A6"/>
      </bottom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/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/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D6A100"/>
      </bottom>
      <diagonal/>
    </border>
    <border>
      <left/>
      <right/>
      <top style="thin">
        <color rgb="FFA6A6A6"/>
      </top>
      <bottom style="thin">
        <color rgb="FFD6A100"/>
      </bottom>
      <diagonal/>
    </border>
    <border>
      <left/>
      <right style="thin">
        <color rgb="FFA6A6A6"/>
      </right>
      <top style="thin">
        <color rgb="FFA6A6A6"/>
      </top>
      <bottom style="thin">
        <color rgb="FFD6A100"/>
      </bottom>
      <diagonal/>
    </border>
    <border>
      <left/>
      <right/>
      <top style="thin">
        <color rgb="FFD6A100"/>
      </top>
      <bottom/>
      <diagonal/>
    </border>
  </borders>
  <cellStyleXfs count="1">
    <xf numFmtId="0" fontId="0" fillId="0" borderId="0"/>
  </cellStyleXfs>
  <cellXfs count="212">
    <xf numFmtId="0" fontId="0" fillId="0" borderId="0" xfId="0"/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quotePrefix="1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5" xfId="0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5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7" fillId="0" borderId="2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3" xfId="0" applyFont="1" applyBorder="1" applyAlignment="1">
      <alignment horizontal="left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3" fillId="0" borderId="18" xfId="0" applyFont="1" applyBorder="1" applyAlignment="1">
      <alignment horizontal="left"/>
    </xf>
    <xf numFmtId="0" fontId="3" fillId="0" borderId="0" xfId="0" applyFont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7" fillId="0" borderId="4" xfId="0" applyFont="1" applyBorder="1" applyAlignment="1">
      <alignment horizontal="right"/>
    </xf>
    <xf numFmtId="0" fontId="5" fillId="0" borderId="18" xfId="0" applyFont="1" applyBorder="1" applyAlignment="1">
      <alignment horizontal="left" vertical="center"/>
    </xf>
    <xf numFmtId="0" fontId="10" fillId="0" borderId="18" xfId="0" applyFont="1" applyBorder="1" applyAlignment="1">
      <alignment horizontal="right" vertical="center"/>
    </xf>
    <xf numFmtId="0" fontId="9" fillId="3" borderId="5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9" fillId="3" borderId="7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right" vertical="center"/>
    </xf>
    <xf numFmtId="0" fontId="5" fillId="2" borderId="8" xfId="0" applyFont="1" applyFill="1" applyBorder="1" applyAlignment="1">
      <alignment horizontal="left" vertical="center"/>
    </xf>
    <xf numFmtId="0" fontId="9" fillId="2" borderId="8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12" fillId="0" borderId="0" xfId="0" applyFont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16" fillId="5" borderId="0" xfId="0" applyFont="1" applyFill="1" applyAlignment="1">
      <alignment horizontal="left" vertical="center"/>
    </xf>
    <xf numFmtId="0" fontId="16" fillId="5" borderId="0" xfId="0" applyFont="1" applyFill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right" vertical="center"/>
    </xf>
    <xf numFmtId="0" fontId="19" fillId="4" borderId="0" xfId="0" applyFont="1" applyFill="1" applyAlignment="1">
      <alignment horizontal="left" vertical="center"/>
    </xf>
    <xf numFmtId="0" fontId="19" fillId="4" borderId="0" xfId="0" applyFont="1" applyFill="1" applyAlignment="1">
      <alignment horizontal="right" vertical="center"/>
    </xf>
    <xf numFmtId="0" fontId="20" fillId="4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3" fillId="7" borderId="1" xfId="0" applyFont="1" applyFill="1" applyBorder="1" applyAlignment="1">
      <alignment horizontal="left"/>
    </xf>
    <xf numFmtId="0" fontId="0" fillId="7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21" fillId="8" borderId="22" xfId="0" applyFont="1" applyFill="1" applyBorder="1" applyAlignment="1">
      <alignment horizontal="center"/>
    </xf>
    <xf numFmtId="0" fontId="21" fillId="8" borderId="23" xfId="0" applyFont="1" applyFill="1" applyBorder="1" applyAlignment="1">
      <alignment horizontal="center"/>
    </xf>
    <xf numFmtId="0" fontId="21" fillId="8" borderId="21" xfId="0" applyFont="1" applyFill="1" applyBorder="1" applyAlignment="1">
      <alignment horizont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right" vertical="center"/>
    </xf>
    <xf numFmtId="0" fontId="22" fillId="0" borderId="0" xfId="0" applyFont="1" applyAlignment="1">
      <alignment horizontal="right" vertical="center"/>
    </xf>
    <xf numFmtId="0" fontId="24" fillId="0" borderId="0" xfId="0" applyFont="1" applyAlignment="1">
      <alignment horizontal="left" vertical="center"/>
    </xf>
    <xf numFmtId="0" fontId="25" fillId="0" borderId="0" xfId="0" applyFont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0" fillId="0" borderId="0" xfId="0" applyFont="1" applyAlignment="1">
      <alignment horizontal="left" vertical="center"/>
    </xf>
    <xf numFmtId="0" fontId="26" fillId="0" borderId="0" xfId="0" applyFont="1" applyAlignment="1">
      <alignment horizontal="right" vertical="center"/>
    </xf>
    <xf numFmtId="0" fontId="27" fillId="0" borderId="0" xfId="0" applyFont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2" fillId="0" borderId="0" xfId="0" applyFont="1"/>
    <xf numFmtId="0" fontId="22" fillId="0" borderId="8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9" fillId="0" borderId="7" xfId="0" applyFont="1" applyBorder="1" applyAlignment="1">
      <alignment horizontal="center" vertical="center"/>
    </xf>
    <xf numFmtId="0" fontId="29" fillId="0" borderId="20" xfId="0" applyFont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right" vertical="center"/>
    </xf>
    <xf numFmtId="0" fontId="34" fillId="0" borderId="0" xfId="0" applyFont="1"/>
    <xf numFmtId="0" fontId="29" fillId="0" borderId="1" xfId="0" applyFont="1" applyBorder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9" fontId="35" fillId="9" borderId="0" xfId="0" applyNumberFormat="1" applyFont="1" applyFill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22" fillId="0" borderId="5" xfId="0" applyFont="1" applyBorder="1"/>
    <xf numFmtId="0" fontId="28" fillId="0" borderId="27" xfId="0" applyFont="1" applyBorder="1" applyAlignment="1">
      <alignment horizontal="center" vertical="center"/>
    </xf>
    <xf numFmtId="0" fontId="21" fillId="8" borderId="26" xfId="0" applyFont="1" applyFill="1" applyBorder="1" applyAlignment="1">
      <alignment horizontal="center"/>
    </xf>
    <xf numFmtId="0" fontId="36" fillId="0" borderId="0" xfId="0" applyFont="1"/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left" vertical="center"/>
    </xf>
    <xf numFmtId="0" fontId="40" fillId="9" borderId="0" xfId="0" applyFont="1" applyFill="1" applyAlignment="1">
      <alignment horizontal="left" vertical="center"/>
    </xf>
    <xf numFmtId="0" fontId="4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44" fillId="0" borderId="0" xfId="0" applyFont="1" applyAlignment="1">
      <alignment horizontal="center" vertical="center"/>
    </xf>
    <xf numFmtId="0" fontId="44" fillId="0" borderId="31" xfId="0" applyFont="1" applyBorder="1" applyAlignment="1">
      <alignment horizontal="center" vertical="center"/>
    </xf>
    <xf numFmtId="0" fontId="44" fillId="0" borderId="32" xfId="0" applyFont="1" applyBorder="1" applyAlignment="1">
      <alignment horizontal="center" vertical="center"/>
    </xf>
    <xf numFmtId="0" fontId="44" fillId="0" borderId="33" xfId="0" applyFont="1" applyBorder="1" applyAlignment="1">
      <alignment horizontal="center" vertical="center"/>
    </xf>
    <xf numFmtId="0" fontId="44" fillId="0" borderId="0" xfId="0" applyFont="1" applyAlignment="1">
      <alignment horizontal="right" vertical="center"/>
    </xf>
    <xf numFmtId="0" fontId="44" fillId="10" borderId="0" xfId="0" applyFont="1" applyFill="1" applyAlignment="1">
      <alignment horizontal="center" vertical="center"/>
    </xf>
    <xf numFmtId="0" fontId="31" fillId="0" borderId="0" xfId="0" applyFont="1" applyAlignment="1">
      <alignment horizontal="right" vertical="center"/>
    </xf>
    <xf numFmtId="0" fontId="44" fillId="0" borderId="29" xfId="0" applyFont="1" applyBorder="1" applyAlignment="1">
      <alignment horizontal="center" vertical="center"/>
    </xf>
    <xf numFmtId="0" fontId="44" fillId="0" borderId="28" xfId="0" applyFont="1" applyBorder="1" applyAlignment="1">
      <alignment horizontal="center" vertical="center"/>
    </xf>
    <xf numFmtId="0" fontId="44" fillId="0" borderId="34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44" fillId="12" borderId="0" xfId="0" applyFont="1" applyFill="1" applyAlignment="1">
      <alignment horizontal="center" vertical="center"/>
    </xf>
    <xf numFmtId="0" fontId="31" fillId="12" borderId="0" xfId="0" applyFont="1" applyFill="1" applyAlignment="1">
      <alignment horizontal="left" vertical="center"/>
    </xf>
    <xf numFmtId="0" fontId="31" fillId="12" borderId="0" xfId="0" applyFont="1" applyFill="1" applyAlignment="1">
      <alignment horizontal="right" vertical="center"/>
    </xf>
    <xf numFmtId="0" fontId="46" fillId="12" borderId="0" xfId="0" applyFont="1" applyFill="1" applyAlignment="1">
      <alignment horizontal="left" vertical="center"/>
    </xf>
    <xf numFmtId="0" fontId="44" fillId="12" borderId="29" xfId="0" applyFont="1" applyFill="1" applyBorder="1" applyAlignment="1">
      <alignment horizontal="center" vertical="center"/>
    </xf>
    <xf numFmtId="0" fontId="44" fillId="12" borderId="28" xfId="0" applyFont="1" applyFill="1" applyBorder="1" applyAlignment="1">
      <alignment horizontal="center" vertical="center"/>
    </xf>
    <xf numFmtId="0" fontId="44" fillId="12" borderId="34" xfId="0" applyFont="1" applyFill="1" applyBorder="1" applyAlignment="1">
      <alignment horizontal="center" vertical="center"/>
    </xf>
    <xf numFmtId="0" fontId="45" fillId="12" borderId="0" xfId="0" applyFont="1" applyFill="1" applyAlignment="1">
      <alignment horizontal="center" vertical="center"/>
    </xf>
    <xf numFmtId="0" fontId="44" fillId="12" borderId="31" xfId="0" applyFont="1" applyFill="1" applyBorder="1" applyAlignment="1">
      <alignment horizontal="center" vertical="center"/>
    </xf>
    <xf numFmtId="0" fontId="44" fillId="12" borderId="32" xfId="0" applyFont="1" applyFill="1" applyBorder="1" applyAlignment="1">
      <alignment horizontal="center" vertical="center"/>
    </xf>
    <xf numFmtId="0" fontId="44" fillId="12" borderId="33" xfId="0" applyFont="1" applyFill="1" applyBorder="1" applyAlignment="1">
      <alignment horizontal="center" vertical="center"/>
    </xf>
    <xf numFmtId="0" fontId="47" fillId="12" borderId="0" xfId="0" applyFont="1" applyFill="1" applyAlignment="1">
      <alignment horizontal="center" vertical="center"/>
    </xf>
    <xf numFmtId="0" fontId="43" fillId="12" borderId="0" xfId="0" applyFont="1" applyFill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31" fillId="10" borderId="0" xfId="0" applyFont="1" applyFill="1" applyAlignment="1">
      <alignment horizontal="left" vertical="center"/>
    </xf>
    <xf numFmtId="0" fontId="46" fillId="10" borderId="0" xfId="0" applyFont="1" applyFill="1" applyAlignment="1">
      <alignment horizontal="left" vertical="center"/>
    </xf>
    <xf numFmtId="0" fontId="44" fillId="10" borderId="31" xfId="0" applyFont="1" applyFill="1" applyBorder="1" applyAlignment="1">
      <alignment horizontal="center" vertical="center"/>
    </xf>
    <xf numFmtId="0" fontId="44" fillId="10" borderId="32" xfId="0" applyFont="1" applyFill="1" applyBorder="1" applyAlignment="1">
      <alignment horizontal="center" vertical="center"/>
    </xf>
    <xf numFmtId="0" fontId="44" fillId="10" borderId="33" xfId="0" applyFont="1" applyFill="1" applyBorder="1" applyAlignment="1">
      <alignment horizontal="center" vertical="center"/>
    </xf>
    <xf numFmtId="0" fontId="47" fillId="10" borderId="0" xfId="0" applyFont="1" applyFill="1" applyAlignment="1">
      <alignment horizontal="center" vertical="center"/>
    </xf>
    <xf numFmtId="0" fontId="43" fillId="10" borderId="0" xfId="0" applyFont="1" applyFill="1" applyAlignment="1">
      <alignment horizontal="center" vertical="center"/>
    </xf>
    <xf numFmtId="0" fontId="44" fillId="12" borderId="30" xfId="0" applyFont="1" applyFill="1" applyBorder="1" applyAlignment="1">
      <alignment horizontal="center" vertical="center"/>
    </xf>
    <xf numFmtId="0" fontId="31" fillId="10" borderId="0" xfId="0" applyFont="1" applyFill="1" applyAlignment="1">
      <alignment horizontal="right" vertical="center"/>
    </xf>
    <xf numFmtId="0" fontId="44" fillId="10" borderId="29" xfId="0" applyFont="1" applyFill="1" applyBorder="1" applyAlignment="1">
      <alignment horizontal="center" vertical="center"/>
    </xf>
    <xf numFmtId="0" fontId="44" fillId="10" borderId="28" xfId="0" applyFont="1" applyFill="1" applyBorder="1" applyAlignment="1">
      <alignment horizontal="center" vertical="center"/>
    </xf>
    <xf numFmtId="0" fontId="44" fillId="10" borderId="34" xfId="0" applyFont="1" applyFill="1" applyBorder="1" applyAlignment="1">
      <alignment horizontal="center" vertical="center"/>
    </xf>
    <xf numFmtId="0" fontId="45" fillId="10" borderId="0" xfId="0" applyFont="1" applyFill="1" applyAlignment="1">
      <alignment horizontal="center" vertical="center"/>
    </xf>
    <xf numFmtId="0" fontId="44" fillId="10" borderId="30" xfId="0" applyFont="1" applyFill="1" applyBorder="1" applyAlignment="1">
      <alignment horizontal="center" vertical="center"/>
    </xf>
    <xf numFmtId="0" fontId="44" fillId="9" borderId="0" xfId="0" applyFont="1" applyFill="1" applyAlignment="1">
      <alignment horizontal="center" vertical="center"/>
    </xf>
    <xf numFmtId="0" fontId="51" fillId="0" borderId="0" xfId="0" applyFont="1" applyAlignment="1">
      <alignment horizontal="left" vertical="center"/>
    </xf>
    <xf numFmtId="0" fontId="54" fillId="0" borderId="0" xfId="0" applyFont="1" applyAlignment="1">
      <alignment horizontal="center" vertical="center"/>
    </xf>
    <xf numFmtId="0" fontId="46" fillId="10" borderId="0" xfId="0" applyFont="1" applyFill="1" applyAlignment="1">
      <alignment horizontal="right" vertical="center"/>
    </xf>
    <xf numFmtId="0" fontId="46" fillId="12" borderId="0" xfId="0" applyFont="1" applyFill="1" applyAlignment="1">
      <alignment horizontal="right" vertical="center"/>
    </xf>
    <xf numFmtId="0" fontId="55" fillId="9" borderId="0" xfId="0" applyFont="1" applyFill="1" applyAlignment="1">
      <alignment horizontal="left" vertical="center"/>
    </xf>
    <xf numFmtId="0" fontId="56" fillId="9" borderId="0" xfId="0" applyFont="1" applyFill="1" applyAlignment="1">
      <alignment horizontal="left" vertical="center"/>
    </xf>
    <xf numFmtId="0" fontId="44" fillId="9" borderId="30" xfId="0" applyFont="1" applyFill="1" applyBorder="1" applyAlignment="1">
      <alignment horizontal="center" vertical="center"/>
    </xf>
    <xf numFmtId="0" fontId="44" fillId="9" borderId="36" xfId="0" applyFont="1" applyFill="1" applyBorder="1" applyAlignment="1">
      <alignment horizontal="center" vertical="center"/>
    </xf>
    <xf numFmtId="0" fontId="57" fillId="9" borderId="37" xfId="0" applyFont="1" applyFill="1" applyBorder="1" applyAlignment="1">
      <alignment horizontal="left" vertical="center"/>
    </xf>
    <xf numFmtId="0" fontId="44" fillId="9" borderId="37" xfId="0" applyFont="1" applyFill="1" applyBorder="1" applyAlignment="1">
      <alignment horizontal="center" vertical="center"/>
    </xf>
    <xf numFmtId="0" fontId="44" fillId="9" borderId="38" xfId="0" applyFont="1" applyFill="1" applyBorder="1" applyAlignment="1">
      <alignment horizontal="center" vertical="center"/>
    </xf>
    <xf numFmtId="0" fontId="44" fillId="9" borderId="39" xfId="0" applyFont="1" applyFill="1" applyBorder="1" applyAlignment="1">
      <alignment horizontal="center" vertical="center"/>
    </xf>
    <xf numFmtId="0" fontId="44" fillId="9" borderId="40" xfId="0" applyFont="1" applyFill="1" applyBorder="1" applyAlignment="1">
      <alignment horizontal="center" vertical="center"/>
    </xf>
    <xf numFmtId="0" fontId="44" fillId="21" borderId="41" xfId="0" applyFont="1" applyFill="1" applyBorder="1" applyAlignment="1">
      <alignment horizontal="center" vertical="center"/>
    </xf>
    <xf numFmtId="0" fontId="44" fillId="21" borderId="43" xfId="0" applyFont="1" applyFill="1" applyBorder="1" applyAlignment="1">
      <alignment horizontal="center" vertical="center"/>
    </xf>
    <xf numFmtId="0" fontId="44" fillId="9" borderId="31" xfId="0" applyFont="1" applyFill="1" applyBorder="1" applyAlignment="1">
      <alignment horizontal="center" vertical="center"/>
    </xf>
    <xf numFmtId="0" fontId="44" fillId="9" borderId="32" xfId="0" applyFont="1" applyFill="1" applyBorder="1" applyAlignment="1">
      <alignment horizontal="center" vertical="center"/>
    </xf>
    <xf numFmtId="0" fontId="44" fillId="9" borderId="33" xfId="0" applyFont="1" applyFill="1" applyBorder="1" applyAlignment="1">
      <alignment horizontal="center" vertical="center"/>
    </xf>
    <xf numFmtId="0" fontId="60" fillId="9" borderId="37" xfId="0" applyFont="1" applyFill="1" applyBorder="1" applyAlignment="1">
      <alignment horizontal="right" vertical="top"/>
    </xf>
    <xf numFmtId="0" fontId="61" fillId="9" borderId="37" xfId="0" applyFont="1" applyFill="1" applyBorder="1" applyAlignment="1">
      <alignment horizontal="right" vertical="top"/>
    </xf>
    <xf numFmtId="0" fontId="44" fillId="9" borderId="29" xfId="0" applyFont="1" applyFill="1" applyBorder="1" applyAlignment="1">
      <alignment horizontal="center" vertical="center"/>
    </xf>
    <xf numFmtId="0" fontId="44" fillId="9" borderId="28" xfId="0" applyFont="1" applyFill="1" applyBorder="1" applyAlignment="1">
      <alignment horizontal="center" vertical="center"/>
    </xf>
    <xf numFmtId="0" fontId="44" fillId="9" borderId="34" xfId="0" applyFont="1" applyFill="1" applyBorder="1" applyAlignment="1">
      <alignment horizontal="center" vertical="center"/>
    </xf>
    <xf numFmtId="0" fontId="58" fillId="21" borderId="42" xfId="0" applyFont="1" applyFill="1" applyBorder="1" applyAlignment="1">
      <alignment horizontal="left" vertical="center"/>
    </xf>
    <xf numFmtId="0" fontId="62" fillId="0" borderId="44" xfId="0" applyFont="1" applyBorder="1" applyAlignment="1">
      <alignment horizontal="left" vertical="center"/>
    </xf>
    <xf numFmtId="0" fontId="62" fillId="0" borderId="0" xfId="0" applyFont="1" applyAlignment="1">
      <alignment horizontal="left" vertical="center"/>
    </xf>
    <xf numFmtId="0" fontId="59" fillId="21" borderId="42" xfId="0" applyFont="1" applyFill="1" applyBorder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23" fillId="0" borderId="8" xfId="0" applyFont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40" fillId="9" borderId="0" xfId="0" applyFont="1" applyFill="1" applyAlignment="1">
      <alignment horizontal="left" vertical="center"/>
    </xf>
    <xf numFmtId="0" fontId="52" fillId="14" borderId="35" xfId="0" applyFont="1" applyFill="1" applyBorder="1" applyAlignment="1">
      <alignment horizontal="center" vertical="center"/>
    </xf>
    <xf numFmtId="0" fontId="53" fillId="15" borderId="0" xfId="0" applyFont="1" applyFill="1" applyAlignment="1">
      <alignment horizontal="center" vertical="center"/>
    </xf>
    <xf numFmtId="0" fontId="52" fillId="16" borderId="35" xfId="0" applyFont="1" applyFill="1" applyBorder="1" applyAlignment="1">
      <alignment horizontal="center" vertical="center"/>
    </xf>
    <xf numFmtId="0" fontId="52" fillId="17" borderId="35" xfId="0" applyFont="1" applyFill="1" applyBorder="1" applyAlignment="1">
      <alignment horizontal="center" vertical="center"/>
    </xf>
    <xf numFmtId="0" fontId="52" fillId="18" borderId="35" xfId="0" applyFont="1" applyFill="1" applyBorder="1" applyAlignment="1">
      <alignment horizontal="center" vertical="center"/>
    </xf>
    <xf numFmtId="0" fontId="48" fillId="11" borderId="0" xfId="0" applyFont="1" applyFill="1" applyAlignment="1">
      <alignment horizontal="center" vertical="center" textRotation="90"/>
    </xf>
    <xf numFmtId="0" fontId="48" fillId="13" borderId="0" xfId="0" applyFont="1" applyFill="1" applyAlignment="1">
      <alignment horizontal="center" vertical="center" textRotation="90"/>
    </xf>
    <xf numFmtId="0" fontId="6" fillId="0" borderId="0" xfId="0" applyFont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3" fillId="19" borderId="0" xfId="0" applyFont="1" applyFill="1" applyAlignment="1">
      <alignment horizontal="right" vertical="center"/>
    </xf>
    <xf numFmtId="0" fontId="63" fillId="19" borderId="0" xfId="0" applyFont="1" applyFill="1" applyAlignment="1">
      <alignment horizontal="left" vertical="center"/>
    </xf>
    <xf numFmtId="0" fontId="64" fillId="20" borderId="0" xfId="0" applyFont="1" applyFill="1" applyAlignment="1">
      <alignment horizontal="left" vertical="center"/>
    </xf>
    <xf numFmtId="0" fontId="57" fillId="9" borderId="0" xfId="0" applyFont="1" applyFill="1" applyBorder="1" applyAlignment="1">
      <alignment horizontal="left" vertical="center"/>
    </xf>
    <xf numFmtId="0" fontId="44" fillId="9" borderId="0" xfId="0" applyFont="1" applyFill="1" applyBorder="1" applyAlignment="1">
      <alignment horizontal="center" vertical="center"/>
    </xf>
    <xf numFmtId="0" fontId="60" fillId="9" borderId="0" xfId="0" applyFont="1" applyFill="1" applyBorder="1" applyAlignment="1">
      <alignment horizontal="left"/>
    </xf>
    <xf numFmtId="0" fontId="61" fillId="9" borderId="0" xfId="0" applyFont="1" applyFill="1" applyBorder="1" applyAlignment="1">
      <alignment horizontal="left"/>
    </xf>
    <xf numFmtId="0" fontId="31" fillId="9" borderId="0" xfId="0" applyFont="1" applyFill="1" applyBorder="1" applyAlignment="1">
      <alignment horizontal="left" vertical="center"/>
    </xf>
    <xf numFmtId="0" fontId="50" fillId="12" borderId="30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b val="0"/>
        <i val="0"/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D8E5BC"/>
      <color rgb="FFBDCF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rgbClr val="FF0000"/>
                </a:solidFill>
                <a:latin typeface="Ink Free"/>
                <a:ea typeface="Ink Free"/>
                <a:cs typeface="Ink Free"/>
              </a:defRPr>
            </a:pPr>
            <a:r>
              <a:rPr lang="en-US"/>
              <a:t>Loss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rgbClr val="FF0000"/>
              </a:solidFill>
              <a:latin typeface="Ink Free"/>
              <a:ea typeface="Ink Free"/>
              <a:cs typeface="Ink Free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5400" cap="rnd">
              <a:solidFill>
                <a:srgbClr val="000000"/>
              </a:solidFill>
              <a:prstDash val="solid"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10"/>
              <c:spPr>
                <a:solidFill>
                  <a:srgbClr val="FFFF00"/>
                </a:solidFill>
                <a:ln w="9525">
                  <a:solidFill>
                    <a:srgbClr val="000000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5A3-F744-BB4E-983695420153}"/>
              </c:ext>
            </c:extLst>
          </c:dPt>
          <c:dPt>
            <c:idx val="1"/>
            <c:marker>
              <c:symbol val="circle"/>
              <c:size val="10"/>
              <c:spPr>
                <a:solidFill>
                  <a:srgbClr val="FFFF00"/>
                </a:solidFill>
                <a:ln w="9525">
                  <a:solidFill>
                    <a:srgbClr val="000000"/>
                  </a:solidFill>
                  <a:prstDash val="solid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F5A3-F744-BB4E-983695420153}"/>
              </c:ext>
            </c:extLst>
          </c:dPt>
          <c:yVal>
            <c:numRef>
              <c:f>Dashboard!$L$6:$L$7</c:f>
              <c:numCache>
                <c:formatCode>General</c:formatCode>
                <c:ptCount val="2"/>
                <c:pt idx="0">
                  <c:v>2.3186953331823568</c:v>
                </c:pt>
                <c:pt idx="1">
                  <c:v>1.9741134733841836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A3-F744-BB4E-983695420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4249087"/>
        <c:axId val="1953510079"/>
      </c:scatterChart>
      <c:valAx>
        <c:axId val="1974249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Ink Free"/>
                    <a:ea typeface="Ink Free"/>
                    <a:cs typeface="Ink Free"/>
                  </a:defRPr>
                </a:pPr>
                <a:r>
                  <a:rPr lang="en-US"/>
                  <a:t>CELoss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Ink Free"/>
                  <a:ea typeface="Ink Free"/>
                  <a:cs typeface="Ink Free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510079"/>
        <c:crosses val="autoZero"/>
        <c:crossBetween val="midCat"/>
      </c:valAx>
      <c:valAx>
        <c:axId val="195351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Ink Free"/>
                    <a:ea typeface="Ink Free"/>
                    <a:cs typeface="Ink Free"/>
                  </a:defRPr>
                </a:pPr>
                <a:r>
                  <a:rPr lang="en-US"/>
                  <a:t>Epoch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Ink Free"/>
                  <a:ea typeface="Ink Free"/>
                  <a:cs typeface="Ink Free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249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FFFF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rgbClr val="FF0000"/>
                </a:solidFill>
                <a:latin typeface="Ink Free"/>
                <a:ea typeface="Ink Free"/>
                <a:cs typeface="Ink Free"/>
              </a:defRPr>
            </a:pPr>
            <a:r>
              <a:rPr lang="en-US"/>
              <a:t>Mean gradient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rgbClr val="FF0000"/>
              </a:solidFill>
              <a:latin typeface="Ink Free"/>
              <a:ea typeface="Ink Free"/>
              <a:cs typeface="Ink Free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Dashboard!$BE$38</c:f>
              <c:strCache>
                <c:ptCount val="1"/>
                <c:pt idx="0">
                  <c:v>G₀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Dashboard!$BD$39:$BD$40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cat>
          <c:val>
            <c:numRef>
              <c:f>Dashboard!$BE$39:$BE$40</c:f>
              <c:numCache>
                <c:formatCode>General</c:formatCode>
                <c:ptCount val="2"/>
                <c:pt idx="0">
                  <c:v>6.7877557449542325E-2</c:v>
                </c:pt>
                <c:pt idx="1">
                  <c:v>3.0412751640244498E-2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5B-0843-A5DA-4701FD388050}"/>
            </c:ext>
          </c:extLst>
        </c:ser>
        <c:ser>
          <c:idx val="1"/>
          <c:order val="1"/>
          <c:tx>
            <c:strRef>
              <c:f>Dashboard!$BF$38</c:f>
              <c:strCache>
                <c:ptCount val="1"/>
                <c:pt idx="0">
                  <c:v>G₁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Dashboard!$BD$39:$BD$40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cat>
          <c:val>
            <c:numRef>
              <c:f>Dashboard!$BF$39:$BF$40</c:f>
              <c:numCache>
                <c:formatCode>General</c:formatCode>
                <c:ptCount val="2"/>
                <c:pt idx="0">
                  <c:v>0.23160938052812571</c:v>
                </c:pt>
                <c:pt idx="1">
                  <c:v>0.13484199201279351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5B-0843-A5DA-4701FD388050}"/>
            </c:ext>
          </c:extLst>
        </c:ser>
        <c:ser>
          <c:idx val="2"/>
          <c:order val="2"/>
          <c:tx>
            <c:strRef>
              <c:f>Dashboard!$BG$38</c:f>
              <c:strCache>
                <c:ptCount val="1"/>
                <c:pt idx="0">
                  <c:v>G₂</c:v>
                </c:pt>
              </c:strCache>
            </c:strRef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Dashboard!$BD$39:$BD$40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cat>
          <c:val>
            <c:numRef>
              <c:f>Dashboard!$BG$39:$BG$40</c:f>
              <c:numCache>
                <c:formatCode>General</c:formatCode>
                <c:ptCount val="2"/>
                <c:pt idx="0">
                  <c:v>0.23874795507991711</c:v>
                </c:pt>
                <c:pt idx="1">
                  <c:v>0.14050186069378595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5B-0843-A5DA-4701FD388050}"/>
            </c:ext>
          </c:extLst>
        </c:ser>
        <c:ser>
          <c:idx val="3"/>
          <c:order val="3"/>
          <c:tx>
            <c:strRef>
              <c:f>Dashboard!$BH$38</c:f>
              <c:strCache>
                <c:ptCount val="1"/>
                <c:pt idx="0">
                  <c:v>G₃</c:v>
                </c:pt>
              </c:strCache>
            </c:strRef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Dashboard!$BD$39:$BD$40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cat>
          <c:val>
            <c:numRef>
              <c:f>Dashboard!$BH$39:$BH$40</c:f>
              <c:numCache>
                <c:formatCode>General</c:formatCode>
                <c:ptCount val="2"/>
                <c:pt idx="0">
                  <c:v>0.12479603201016706</c:v>
                </c:pt>
                <c:pt idx="1">
                  <c:v>7.4436077771909068E-2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5B-0843-A5DA-4701FD388050}"/>
            </c:ext>
          </c:extLst>
        </c:ser>
        <c:ser>
          <c:idx val="4"/>
          <c:order val="4"/>
          <c:tx>
            <c:strRef>
              <c:f>Dashboard!$BI$38</c:f>
              <c:strCache>
                <c:ptCount val="1"/>
                <c:pt idx="0">
                  <c:v>G₄</c:v>
                </c:pt>
              </c:strCache>
            </c:strRef>
          </c:tx>
          <c:spPr>
            <a:ln w="2540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Dashboard!$BD$39:$BD$40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cat>
          <c:val>
            <c:numRef>
              <c:f>Dashboard!$BI$39:$BI$40</c:f>
              <c:numCache>
                <c:formatCode>General</c:formatCode>
                <c:ptCount val="2"/>
                <c:pt idx="0">
                  <c:v>0.20055799871207031</c:v>
                </c:pt>
                <c:pt idx="1">
                  <c:v>0.12678129089397774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55B-0843-A5DA-4701FD388050}"/>
            </c:ext>
          </c:extLst>
        </c:ser>
        <c:ser>
          <c:idx val="5"/>
          <c:order val="5"/>
          <c:tx>
            <c:strRef>
              <c:f>Dashboard!$BJ$38</c:f>
              <c:strCache>
                <c:ptCount val="1"/>
                <c:pt idx="0">
                  <c:v>G₅</c:v>
                </c:pt>
              </c:strCache>
            </c:strRef>
          </c:tx>
          <c:spPr>
            <a:ln w="2540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Dashboard!$BD$39:$BD$40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cat>
          <c:val>
            <c:numRef>
              <c:f>Dashboard!$BJ$39:$BJ$40</c:f>
              <c:numCache>
                <c:formatCode>General</c:formatCode>
                <c:ptCount val="2"/>
                <c:pt idx="0">
                  <c:v>7.929573337049596E-2</c:v>
                </c:pt>
                <c:pt idx="1">
                  <c:v>6.7783591802067875E-2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55B-0843-A5DA-4701FD388050}"/>
            </c:ext>
          </c:extLst>
        </c:ser>
        <c:ser>
          <c:idx val="6"/>
          <c:order val="6"/>
          <c:tx>
            <c:strRef>
              <c:f>Dashboard!$BK$38</c:f>
              <c:strCache>
                <c:ptCount val="1"/>
                <c:pt idx="0">
                  <c:v>G₆</c:v>
                </c:pt>
              </c:strCache>
            </c:strRef>
          </c:tx>
          <c:spPr>
            <a:ln w="2540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Dashboard!$BD$39:$BD$40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cat>
          <c:val>
            <c:numRef>
              <c:f>Dashboard!$BK$39:$BK$40</c:f>
              <c:numCache>
                <c:formatCode>General</c:formatCode>
                <c:ptCount val="2"/>
                <c:pt idx="0">
                  <c:v>0.14664422847945671</c:v>
                </c:pt>
                <c:pt idx="1">
                  <c:v>0.13139215702561011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55B-0843-A5DA-4701FD388050}"/>
            </c:ext>
          </c:extLst>
        </c:ser>
        <c:ser>
          <c:idx val="7"/>
          <c:order val="7"/>
          <c:tx>
            <c:strRef>
              <c:f>Dashboard!$BL$38</c:f>
              <c:strCache>
                <c:ptCount val="1"/>
                <c:pt idx="0">
                  <c:v>G₇</c:v>
                </c:pt>
              </c:strCache>
            </c:strRef>
          </c:tx>
          <c:spPr>
            <a:ln w="2540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Dashboard!$BD$39:$BD$40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cat>
          <c:val>
            <c:numRef>
              <c:f>Dashboard!$BL$39:$BL$40</c:f>
              <c:numCache>
                <c:formatCode>General</c:formatCode>
                <c:ptCount val="2"/>
                <c:pt idx="0">
                  <c:v>0.19538412833170116</c:v>
                </c:pt>
                <c:pt idx="1">
                  <c:v>0.20229207322655796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55B-0843-A5DA-4701FD388050}"/>
            </c:ext>
          </c:extLst>
        </c:ser>
        <c:ser>
          <c:idx val="8"/>
          <c:order val="8"/>
          <c:tx>
            <c:strRef>
              <c:f>Dashboard!$BM$38</c:f>
              <c:strCache>
                <c:ptCount val="1"/>
                <c:pt idx="0">
                  <c:v>G₈</c:v>
                </c:pt>
              </c:strCache>
            </c:strRef>
          </c:tx>
          <c:spPr>
            <a:ln w="2540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Dashboard!$BD$39:$BD$40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cat>
          <c:val>
            <c:numRef>
              <c:f>Dashboard!$BM$39:$BM$40</c:f>
              <c:numCache>
                <c:formatCode>General</c:formatCode>
                <c:ptCount val="2"/>
                <c:pt idx="0">
                  <c:v>0.28485108287332633</c:v>
                </c:pt>
                <c:pt idx="1">
                  <c:v>0.29585375245018891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55B-0843-A5DA-4701FD388050}"/>
            </c:ext>
          </c:extLst>
        </c:ser>
        <c:ser>
          <c:idx val="9"/>
          <c:order val="9"/>
          <c:tx>
            <c:strRef>
              <c:f>Dashboard!$BN$38</c:f>
              <c:strCache>
                <c:ptCount val="1"/>
                <c:pt idx="0">
                  <c:v>G₉</c:v>
                </c:pt>
              </c:strCache>
            </c:strRef>
          </c:tx>
          <c:spPr>
            <a:ln w="2540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Dashboard!$BD$39:$BD$40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cat>
          <c:val>
            <c:numRef>
              <c:f>Dashboard!$BN$39:$BN$40</c:f>
              <c:numCache>
                <c:formatCode>General</c:formatCode>
                <c:ptCount val="2"/>
                <c:pt idx="0">
                  <c:v>0.1134473417376647</c:v>
                </c:pt>
                <c:pt idx="1">
                  <c:v>0.11344605308689087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55B-0843-A5DA-4701FD388050}"/>
            </c:ext>
          </c:extLst>
        </c:ser>
        <c:ser>
          <c:idx val="10"/>
          <c:order val="10"/>
          <c:tx>
            <c:strRef>
              <c:f>Dashboard!$BO$38</c:f>
              <c:strCache>
                <c:ptCount val="1"/>
                <c:pt idx="0">
                  <c:v>G₁₀</c:v>
                </c:pt>
              </c:strCache>
            </c:strRef>
          </c:tx>
          <c:spPr>
            <a:ln w="2540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Dashboard!$BD$39:$BD$40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cat>
          <c:val>
            <c:numRef>
              <c:f>Dashboard!$BO$39:$BO$40</c:f>
              <c:numCache>
                <c:formatCode>General</c:formatCode>
                <c:ptCount val="2"/>
                <c:pt idx="0">
                  <c:v>0.18006425459283654</c:v>
                </c:pt>
                <c:pt idx="1">
                  <c:v>0.17011456500392069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55B-0843-A5DA-4701FD388050}"/>
            </c:ext>
          </c:extLst>
        </c:ser>
        <c:ser>
          <c:idx val="11"/>
          <c:order val="11"/>
          <c:tx>
            <c:strRef>
              <c:f>Dashboard!$BP$38</c:f>
              <c:strCache>
                <c:ptCount val="1"/>
                <c:pt idx="0">
                  <c:v>G₁₁</c:v>
                </c:pt>
              </c:strCache>
            </c:strRef>
          </c:tx>
          <c:spPr>
            <a:ln w="2540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Dashboard!$BD$39:$BD$40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cat>
          <c:val>
            <c:numRef>
              <c:f>Dashboard!$BP$39:$BP$40</c:f>
              <c:numCache>
                <c:formatCode>General</c:formatCode>
                <c:ptCount val="2"/>
                <c:pt idx="0">
                  <c:v>1.0304503614702172</c:v>
                </c:pt>
                <c:pt idx="1">
                  <c:v>0.78582508078655655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55B-0843-A5DA-4701FD388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0122559"/>
        <c:axId val="45568384"/>
      </c:lineChart>
      <c:catAx>
        <c:axId val="19401225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Ink Free"/>
                    <a:ea typeface="Ink Free"/>
                    <a:cs typeface="Ink Free"/>
                  </a:defRPr>
                </a:pPr>
                <a:r>
                  <a:rPr lang="en-US"/>
                  <a:t>Epoch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Ink Free"/>
                  <a:ea typeface="Ink Free"/>
                  <a:cs typeface="Ink Free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68384"/>
        <c:crosses val="autoZero"/>
        <c:auto val="1"/>
        <c:lblAlgn val="ctr"/>
        <c:lblOffset val="100"/>
        <c:noMultiLvlLbl val="0"/>
      </c:catAx>
      <c:valAx>
        <c:axId val="4556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Ink Free"/>
                    <a:ea typeface="Ink Free"/>
                    <a:cs typeface="Ink Free"/>
                  </a:defRPr>
                </a:pPr>
                <a:r>
                  <a:rPr lang="en-US"/>
                  <a:t>Mean gradient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Ink Free"/>
                  <a:ea typeface="Ink Free"/>
                  <a:cs typeface="Ink Free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122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42332</xdr:colOff>
      <xdr:row>2</xdr:row>
      <xdr:rowOff>2558</xdr:rowOff>
    </xdr:from>
    <xdr:to>
      <xdr:col>1</xdr:col>
      <xdr:colOff>426720</xdr:colOff>
      <xdr:row>2</xdr:row>
      <xdr:rowOff>356165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C96D2C69-B623-ED45-A2D0-41C60D93C17D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vMzY1Y29sb3JhZG9lZHUtbXkuc2hhcmVwb2ludC5jb20vOnU6L2cvcGVyc29uYWwvbW9qdTM1NzJfY29sb3JhZG9fZWR1L0lRRHotSkIzVXkyUFJva3NqdldnMGlyd0FkSXVQckhteGFpZW5nU21ERVoxaFdv&quot;}"/>
            </a:ext>
          </a:extLst>
        </xdr:cNvPr>
        <xdr:cNvSpPr/>
      </xdr:nvSpPr>
      <xdr:spPr>
        <a:xfrm>
          <a:off x="613375" y="829429"/>
          <a:ext cx="384388" cy="353607"/>
        </a:xfrm>
        <a:prstGeom prst="roundRect">
          <a:avLst>
            <a:gd name="adj" fmla="val 37466"/>
          </a:avLst>
        </a:prstGeom>
        <a:noFill/>
        <a:ln w="635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800"/>
            <a:t>🎲</a:t>
          </a:r>
        </a:p>
      </xdr:txBody>
    </xdr:sp>
    <xdr:clientData/>
  </xdr:twoCellAnchor>
  <xdr:twoCellAnchor>
    <xdr:from>
      <xdr:col>0</xdr:col>
      <xdr:colOff>118223</xdr:colOff>
      <xdr:row>0</xdr:row>
      <xdr:rowOff>159971</xdr:rowOff>
    </xdr:from>
    <xdr:to>
      <xdr:col>0</xdr:col>
      <xdr:colOff>432537</xdr:colOff>
      <xdr:row>0</xdr:row>
      <xdr:rowOff>469348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948A3351-E9AD-1042-AD97-71A37C9A0926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vMzY1Y29sb3JhZG9lZHUtbXkuc2hhcmVwb2ludC5jb20vOnU6L2cvcGVyc29uYWwvbW9qdTM1NzJfY29sb3JhZG9fZWR1L0lRQk1PZ0ZGb0loX1I2ZHQ2eTdPUGlEZUFaaTZsMjljbGl1VC1helUxQXk5NjBz&quot;}"/>
            </a:ext>
          </a:extLst>
        </xdr:cNvPr>
        <xdr:cNvSpPr/>
      </xdr:nvSpPr>
      <xdr:spPr>
        <a:xfrm>
          <a:off x="118223" y="159971"/>
          <a:ext cx="314314" cy="309377"/>
        </a:xfrm>
        <a:prstGeom prst="roundRect">
          <a:avLst>
            <a:gd name="adj" fmla="val 50000"/>
          </a:avLst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>
              <a:solidFill>
                <a:schemeClr val="tx1">
                  <a:lumMod val="50000"/>
                  <a:lumOff val="50000"/>
                </a:schemeClr>
              </a:solidFill>
            </a:rPr>
            <a:t>↺</a:t>
          </a:r>
        </a:p>
      </xdr:txBody>
    </xdr:sp>
    <xdr:clientData/>
  </xdr:twoCellAnchor>
  <xdr:twoCellAnchor>
    <xdr:from>
      <xdr:col>8</xdr:col>
      <xdr:colOff>206492</xdr:colOff>
      <xdr:row>4</xdr:row>
      <xdr:rowOff>18814</xdr:rowOff>
    </xdr:from>
    <xdr:to>
      <xdr:col>9</xdr:col>
      <xdr:colOff>84666</xdr:colOff>
      <xdr:row>5</xdr:row>
      <xdr:rowOff>15049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FBA295B4-4283-394D-987D-3647C3EEFF16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vMzY1Y29sb3JhZG9lZHUtbXkuc2hhcmVwb2ludC5jb20vOnU6L2cvcGVyc29uYWwvbW9qdTM1NzJfY29sb3JhZG9fZWR1L0lRQjc5U3pKaGRnQVJMQjVtOE94cWZ2SEFRZUgxYTAyQ2Q0UHk4VkZkc2ZfVWZv&quot;}"/>
            </a:ext>
          </a:extLst>
        </xdr:cNvPr>
        <xdr:cNvSpPr/>
      </xdr:nvSpPr>
      <xdr:spPr>
        <a:xfrm>
          <a:off x="5446418" y="1458147"/>
          <a:ext cx="461433" cy="259643"/>
        </a:xfrm>
        <a:prstGeom prst="roundRect">
          <a:avLst>
            <a:gd name="adj" fmla="val 26329"/>
          </a:avLst>
        </a:prstGeom>
        <a:solidFill>
          <a:srgbClr val="D8E5BC"/>
        </a:solidFill>
        <a:ln w="12700" cap="flat" cmpd="sng" algn="ctr">
          <a:solidFill>
            <a:schemeClr val="accent1">
              <a:shade val="15000"/>
            </a:schemeClr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▶︎</a:t>
          </a:r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4</xdr:row>
      <xdr:rowOff>0</xdr:rowOff>
    </xdr:from>
    <xdr:to>
      <xdr:col>34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F84D84-19A7-89E4-9E7B-D605CA752E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55</xdr:col>
      <xdr:colOff>0</xdr:colOff>
      <xdr:row>42</xdr:row>
      <xdr:rowOff>0</xdr:rowOff>
    </xdr:from>
    <xdr:to>
      <xdr:col>77</xdr:col>
      <xdr:colOff>0</xdr:colOff>
      <xdr:row>59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D11F06-3534-5720-C459-3BE0911868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CD32E3E-F940-934A-8FE6-A2762A284B42}">
  <we:reference id="wa104380862" version="3.0.0.0" store="en-U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A3C05-7AD0-2741-AA68-BF1A585EA73D}">
  <sheetPr codeName="Sheet1">
    <tabColor rgb="FFFFFF00"/>
    <pageSetUpPr fitToPage="1"/>
  </sheetPr>
  <dimension ref="A1:BK39"/>
  <sheetViews>
    <sheetView showGridLines="0" tabSelected="1" zoomScale="65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5" sqref="J5"/>
    </sheetView>
  </sheetViews>
  <sheetFormatPr baseColWidth="10" defaultColWidth="10.83203125" defaultRowHeight="19" x14ac:dyDescent="0.2"/>
  <cols>
    <col min="1" max="1" width="7.5" style="87" customWidth="1"/>
    <col min="2" max="2" width="16.5" style="85" customWidth="1"/>
    <col min="3" max="3" width="6.1640625" style="85" customWidth="1"/>
    <col min="4" max="4" width="7.83203125" style="85" customWidth="1"/>
    <col min="5" max="5" width="2.83203125" style="85" customWidth="1"/>
    <col min="6" max="6" width="6.5" style="87" customWidth="1"/>
    <col min="7" max="7" width="11.83203125" style="85" customWidth="1"/>
    <col min="8" max="8" width="9.5" style="85" customWidth="1"/>
    <col min="9" max="9" width="7.6640625" style="87" customWidth="1"/>
    <col min="10" max="10" width="6.5" style="87" customWidth="1"/>
    <col min="11" max="85" width="5.83203125" style="87" customWidth="1"/>
    <col min="86" max="16384" width="10.83203125" style="87"/>
  </cols>
  <sheetData>
    <row r="1" spans="1:63" ht="40" customHeight="1" x14ac:dyDescent="0.2">
      <c r="A1" s="113"/>
      <c r="B1" s="63" t="s">
        <v>107</v>
      </c>
      <c r="C1" s="63"/>
      <c r="F1" s="86"/>
    </row>
    <row r="2" spans="1:63" ht="25" customHeight="1" x14ac:dyDescent="0.2">
      <c r="F2" s="86"/>
      <c r="J2" s="88"/>
      <c r="K2" s="89"/>
      <c r="L2" s="90"/>
    </row>
    <row r="3" spans="1:63" ht="28" customHeight="1" x14ac:dyDescent="0.25">
      <c r="A3" s="91"/>
      <c r="B3" s="188"/>
      <c r="C3" s="188"/>
      <c r="F3" s="86"/>
      <c r="L3" s="92"/>
      <c r="M3" s="93"/>
    </row>
    <row r="4" spans="1:63" ht="20" thickBot="1" x14ac:dyDescent="0.25">
      <c r="B4" s="82" t="s">
        <v>95</v>
      </c>
      <c r="C4" s="110" t="s">
        <v>96</v>
      </c>
      <c r="D4" s="83" t="s">
        <v>97</v>
      </c>
      <c r="E4" s="112"/>
      <c r="F4" s="81"/>
      <c r="G4" s="82" t="s">
        <v>104</v>
      </c>
      <c r="H4" s="84" t="s">
        <v>105</v>
      </c>
    </row>
    <row r="5" spans="1:63" ht="21" thickTop="1" x14ac:dyDescent="0.2">
      <c r="A5" s="101" t="s">
        <v>106</v>
      </c>
      <c r="B5" s="94" t="s">
        <v>94</v>
      </c>
      <c r="C5" s="109">
        <v>7</v>
      </c>
      <c r="D5" s="107">
        <v>3</v>
      </c>
      <c r="E5"/>
      <c r="F5"/>
      <c r="G5" s="96" t="b">
        <v>1</v>
      </c>
      <c r="H5" s="97">
        <v>2</v>
      </c>
      <c r="I5" s="86"/>
      <c r="P5" s="115">
        <v>255</v>
      </c>
      <c r="Q5" s="115">
        <v>255</v>
      </c>
      <c r="R5" s="115">
        <v>255</v>
      </c>
      <c r="S5" s="115">
        <v>255</v>
      </c>
      <c r="T5" s="115">
        <v>255</v>
      </c>
      <c r="U5" s="115">
        <v>255</v>
      </c>
      <c r="V5" s="115">
        <v>255</v>
      </c>
      <c r="W5" s="115">
        <v>255</v>
      </c>
      <c r="X5" s="115">
        <v>255</v>
      </c>
      <c r="Y5" s="115">
        <v>255</v>
      </c>
      <c r="Z5" s="115">
        <v>255</v>
      </c>
      <c r="AA5" s="115">
        <v>255</v>
      </c>
      <c r="AB5" s="115">
        <v>255</v>
      </c>
      <c r="AC5" s="115">
        <v>255</v>
      </c>
      <c r="AD5" s="115">
        <v>255</v>
      </c>
      <c r="AE5" s="115">
        <v>255</v>
      </c>
      <c r="AF5" s="115">
        <v>255</v>
      </c>
      <c r="AG5" s="115">
        <v>255</v>
      </c>
      <c r="AH5" s="115">
        <v>255</v>
      </c>
      <c r="AI5" s="115">
        <v>255</v>
      </c>
      <c r="AJ5" s="115">
        <v>255</v>
      </c>
      <c r="AK5" s="115">
        <v>255</v>
      </c>
      <c r="AL5" s="115">
        <v>255</v>
      </c>
      <c r="AM5" s="115">
        <v>255</v>
      </c>
      <c r="AN5" s="115">
        <v>255</v>
      </c>
      <c r="AO5" s="115">
        <v>255</v>
      </c>
      <c r="AP5" s="115">
        <v>255</v>
      </c>
      <c r="AQ5" s="115">
        <v>255</v>
      </c>
      <c r="AR5" s="115">
        <v>255</v>
      </c>
      <c r="AS5" s="115">
        <v>255</v>
      </c>
      <c r="AT5" s="115">
        <v>255</v>
      </c>
      <c r="AU5" s="115">
        <v>255</v>
      </c>
      <c r="AV5" s="115">
        <v>255</v>
      </c>
      <c r="AW5" s="115">
        <v>255</v>
      </c>
      <c r="AX5" s="115">
        <v>255</v>
      </c>
      <c r="AY5" s="115">
        <v>255</v>
      </c>
      <c r="AZ5" s="115">
        <v>255</v>
      </c>
      <c r="BA5" s="115">
        <v>255</v>
      </c>
      <c r="BB5" s="115">
        <v>255</v>
      </c>
      <c r="BC5" s="115">
        <v>255</v>
      </c>
      <c r="BD5" s="115">
        <v>255</v>
      </c>
      <c r="BE5" s="115">
        <v>255</v>
      </c>
      <c r="BF5" s="115">
        <v>255</v>
      </c>
      <c r="BG5" s="115">
        <v>255</v>
      </c>
      <c r="BH5" s="115">
        <v>255</v>
      </c>
      <c r="BI5" s="115">
        <v>255</v>
      </c>
      <c r="BJ5" s="115">
        <v>255</v>
      </c>
      <c r="BK5" s="115">
        <v>255</v>
      </c>
    </row>
    <row r="6" spans="1:63" ht="20" x14ac:dyDescent="0.25">
      <c r="B6" s="98" t="s">
        <v>3</v>
      </c>
      <c r="C6" s="109">
        <v>4</v>
      </c>
      <c r="D6" s="95"/>
      <c r="E6" s="102" t="str">
        <f>HYPERLINK("#Blueprint!X_0", "↓")</f>
        <v>↓</v>
      </c>
      <c r="F6"/>
      <c r="G6" s="106"/>
      <c r="I6" s="106"/>
      <c r="P6" s="115">
        <v>255</v>
      </c>
      <c r="Q6" s="115">
        <v>255</v>
      </c>
      <c r="R6" s="115">
        <v>255</v>
      </c>
      <c r="S6" s="115">
        <v>255</v>
      </c>
      <c r="T6" s="115">
        <v>255</v>
      </c>
      <c r="U6" s="115">
        <v>255</v>
      </c>
      <c r="V6" s="115">
        <v>255</v>
      </c>
      <c r="W6" s="115">
        <v>255</v>
      </c>
      <c r="X6" s="115">
        <v>255</v>
      </c>
      <c r="Y6" s="115">
        <v>255</v>
      </c>
      <c r="Z6" s="115">
        <v>255</v>
      </c>
      <c r="AA6" s="115">
        <v>255</v>
      </c>
      <c r="AB6" s="115">
        <v>255</v>
      </c>
      <c r="AC6" s="115">
        <v>255</v>
      </c>
      <c r="AD6" s="115">
        <v>255</v>
      </c>
      <c r="AE6" s="115">
        <v>255</v>
      </c>
      <c r="AF6" s="115">
        <v>255</v>
      </c>
      <c r="AG6" s="115">
        <v>255</v>
      </c>
      <c r="AH6" s="115">
        <v>255</v>
      </c>
      <c r="AI6" s="115">
        <v>255</v>
      </c>
      <c r="AJ6" s="115">
        <v>255</v>
      </c>
      <c r="AK6" s="115">
        <v>255</v>
      </c>
      <c r="AL6" s="115">
        <v>255</v>
      </c>
      <c r="AM6" s="115">
        <v>255</v>
      </c>
      <c r="AN6" s="115">
        <v>255</v>
      </c>
      <c r="AO6" s="115">
        <v>255</v>
      </c>
      <c r="AP6" s="115">
        <v>255</v>
      </c>
      <c r="AQ6" s="115">
        <v>255</v>
      </c>
      <c r="AR6" s="115">
        <v>255</v>
      </c>
      <c r="AS6" s="115">
        <v>255</v>
      </c>
      <c r="AT6" s="115">
        <v>255</v>
      </c>
      <c r="AU6" s="115">
        <v>255</v>
      </c>
      <c r="AV6" s="115">
        <v>255</v>
      </c>
      <c r="AW6" s="115">
        <v>255</v>
      </c>
      <c r="AX6" s="115">
        <v>255</v>
      </c>
      <c r="AY6" s="115">
        <v>255</v>
      </c>
      <c r="AZ6" s="115">
        <v>255</v>
      </c>
      <c r="BA6" s="115">
        <v>255</v>
      </c>
      <c r="BB6" s="115">
        <v>255</v>
      </c>
      <c r="BC6" s="115">
        <v>255</v>
      </c>
      <c r="BD6" s="115">
        <v>255</v>
      </c>
      <c r="BE6" s="115">
        <v>255</v>
      </c>
      <c r="BF6" s="115">
        <v>255</v>
      </c>
      <c r="BG6" s="115">
        <v>255</v>
      </c>
      <c r="BH6" s="115">
        <v>255</v>
      </c>
      <c r="BI6" s="115">
        <v>255</v>
      </c>
      <c r="BJ6" s="115">
        <v>255</v>
      </c>
      <c r="BK6" s="115">
        <v>255</v>
      </c>
    </row>
    <row r="7" spans="1:63" ht="20" x14ac:dyDescent="0.25">
      <c r="B7" s="98" t="s">
        <v>48</v>
      </c>
      <c r="C7" s="109"/>
      <c r="D7" s="95"/>
      <c r="E7" s="102" t="str">
        <f>HYPERLINK("#Blueprint!X_1", "↓")</f>
        <v>↓</v>
      </c>
      <c r="F7" s="111" t="s">
        <v>128</v>
      </c>
      <c r="G7" s="189" t="str">
        <f t="shared" ref="G7:H7" si="0">HYPERLINK("#Blueprint!X", "📌 Blueprint Tab")</f>
        <v>📌 Blueprint Tab</v>
      </c>
      <c r="H7" s="189"/>
      <c r="P7" s="115">
        <v>255</v>
      </c>
      <c r="Q7" s="115">
        <v>255</v>
      </c>
      <c r="R7" s="115">
        <v>255</v>
      </c>
      <c r="S7" s="115">
        <v>255</v>
      </c>
      <c r="T7" s="115">
        <v>255</v>
      </c>
      <c r="U7" s="115">
        <v>255</v>
      </c>
      <c r="V7" s="115">
        <v>255</v>
      </c>
      <c r="W7" s="115">
        <v>255</v>
      </c>
      <c r="X7" s="115">
        <v>255</v>
      </c>
      <c r="Y7" s="115">
        <v>255</v>
      </c>
      <c r="Z7" s="115">
        <v>255</v>
      </c>
      <c r="AA7" s="115">
        <v>255</v>
      </c>
      <c r="AB7" s="115">
        <v>255</v>
      </c>
      <c r="AC7" s="115">
        <v>255</v>
      </c>
      <c r="AD7" s="115">
        <v>255</v>
      </c>
      <c r="AE7" s="115">
        <v>255</v>
      </c>
      <c r="AF7" s="115">
        <v>255</v>
      </c>
      <c r="AG7" s="115">
        <v>163</v>
      </c>
      <c r="AH7" s="115">
        <v>188</v>
      </c>
      <c r="AI7" s="115">
        <v>255</v>
      </c>
      <c r="AJ7" s="115">
        <v>255</v>
      </c>
      <c r="AK7" s="115">
        <v>255</v>
      </c>
      <c r="AL7" s="115">
        <v>255</v>
      </c>
      <c r="AM7" s="115">
        <v>236</v>
      </c>
      <c r="AN7" s="115">
        <v>186</v>
      </c>
      <c r="AO7" s="115">
        <v>255</v>
      </c>
      <c r="AP7" s="115">
        <v>255</v>
      </c>
      <c r="AQ7" s="115">
        <v>255</v>
      </c>
      <c r="AR7" s="115">
        <v>255</v>
      </c>
      <c r="AS7" s="115">
        <v>255</v>
      </c>
      <c r="AT7" s="115">
        <v>255</v>
      </c>
      <c r="AU7" s="115">
        <v>255</v>
      </c>
      <c r="AV7" s="115">
        <v>255</v>
      </c>
      <c r="AW7" s="115">
        <v>255</v>
      </c>
      <c r="AX7" s="115">
        <v>255</v>
      </c>
      <c r="AY7" s="115">
        <v>255</v>
      </c>
      <c r="AZ7" s="115">
        <v>255</v>
      </c>
      <c r="BA7" s="115">
        <v>255</v>
      </c>
      <c r="BB7" s="115">
        <v>255</v>
      </c>
      <c r="BC7" s="115">
        <v>255</v>
      </c>
      <c r="BD7" s="115">
        <v>255</v>
      </c>
      <c r="BE7" s="115">
        <v>255</v>
      </c>
      <c r="BF7" s="115">
        <v>255</v>
      </c>
      <c r="BG7" s="115">
        <v>255</v>
      </c>
      <c r="BH7" s="115">
        <v>255</v>
      </c>
      <c r="BI7" s="115">
        <v>255</v>
      </c>
      <c r="BJ7" s="115">
        <v>255</v>
      </c>
      <c r="BK7" s="115">
        <v>255</v>
      </c>
    </row>
    <row r="8" spans="1:63" ht="20" x14ac:dyDescent="0.25">
      <c r="B8" s="98" t="s">
        <v>47</v>
      </c>
      <c r="C8" s="109"/>
      <c r="D8" s="95"/>
      <c r="E8" s="102" t="str">
        <f>HYPERLINK("#Blueprint!X_2", "↓")</f>
        <v>↓</v>
      </c>
      <c r="F8" s="111" t="s">
        <v>128</v>
      </c>
      <c r="G8" s="190" t="str">
        <f t="shared" ref="G8:H8" si="1">HYPERLINK("#Blueprint!torchcode", "📌 PyTorch Code")</f>
        <v>📌 PyTorch Code</v>
      </c>
      <c r="H8" s="190"/>
      <c r="P8" s="115">
        <v>255</v>
      </c>
      <c r="Q8" s="115">
        <v>255</v>
      </c>
      <c r="R8" s="115">
        <v>255</v>
      </c>
      <c r="S8" s="115">
        <v>247</v>
      </c>
      <c r="T8" s="115">
        <v>132</v>
      </c>
      <c r="U8" s="115">
        <v>186</v>
      </c>
      <c r="V8" s="115">
        <v>255</v>
      </c>
      <c r="W8" s="115">
        <v>255</v>
      </c>
      <c r="X8" s="115">
        <v>255</v>
      </c>
      <c r="Y8" s="115">
        <v>255</v>
      </c>
      <c r="Z8" s="115">
        <v>255</v>
      </c>
      <c r="AA8" s="115">
        <v>255</v>
      </c>
      <c r="AB8" s="115">
        <v>255</v>
      </c>
      <c r="AC8" s="115">
        <v>255</v>
      </c>
      <c r="AD8" s="115">
        <v>255</v>
      </c>
      <c r="AE8" s="115">
        <v>255</v>
      </c>
      <c r="AF8" s="115">
        <v>255</v>
      </c>
      <c r="AG8" s="115">
        <v>131</v>
      </c>
      <c r="AH8" s="115">
        <v>137</v>
      </c>
      <c r="AI8" s="115">
        <v>255</v>
      </c>
      <c r="AJ8" s="115">
        <v>255</v>
      </c>
      <c r="AK8" s="115">
        <v>255</v>
      </c>
      <c r="AL8" s="115">
        <v>255</v>
      </c>
      <c r="AM8" s="115">
        <v>215</v>
      </c>
      <c r="AN8" s="115">
        <v>46</v>
      </c>
      <c r="AO8" s="115">
        <v>239</v>
      </c>
      <c r="AP8" s="115">
        <v>255</v>
      </c>
      <c r="AQ8" s="115">
        <v>255</v>
      </c>
      <c r="AR8" s="115">
        <v>204</v>
      </c>
      <c r="AS8" s="115">
        <v>222</v>
      </c>
      <c r="AT8" s="115">
        <v>255</v>
      </c>
      <c r="AU8" s="115">
        <v>255</v>
      </c>
      <c r="AV8" s="115">
        <v>255</v>
      </c>
      <c r="AW8" s="115">
        <v>255</v>
      </c>
      <c r="AX8" s="115">
        <v>255</v>
      </c>
      <c r="AY8" s="115">
        <v>255</v>
      </c>
      <c r="AZ8" s="115">
        <v>255</v>
      </c>
      <c r="BA8" s="115">
        <v>255</v>
      </c>
      <c r="BB8" s="115">
        <v>255</v>
      </c>
      <c r="BC8" s="115">
        <v>255</v>
      </c>
      <c r="BD8" s="115">
        <v>255</v>
      </c>
      <c r="BE8" s="115">
        <v>255</v>
      </c>
      <c r="BF8" s="115">
        <v>255</v>
      </c>
      <c r="BG8" s="115">
        <v>232</v>
      </c>
      <c r="BH8" s="115">
        <v>196</v>
      </c>
      <c r="BI8" s="115">
        <v>255</v>
      </c>
      <c r="BJ8" s="115">
        <v>255</v>
      </c>
      <c r="BK8" s="115">
        <v>255</v>
      </c>
    </row>
    <row r="9" spans="1:63" ht="20" x14ac:dyDescent="0.25">
      <c r="B9" s="98" t="s">
        <v>3</v>
      </c>
      <c r="C9" s="109">
        <v>10</v>
      </c>
      <c r="D9" s="95"/>
      <c r="E9" s="102" t="str">
        <f>HYPERLINK("#Blueprint!X_3", "↓")</f>
        <v>↓</v>
      </c>
      <c r="F9" s="111" t="s">
        <v>128</v>
      </c>
      <c r="G9" s="186" t="str">
        <f t="shared" ref="G9:H9" si="2">HYPERLINK("#Blueprint_ep1!X", "📌 Blueprint Epoch 1 Tab")</f>
        <v>📌 Blueprint Epoch 1 Tab</v>
      </c>
      <c r="H9" s="186"/>
      <c r="P9" s="115">
        <v>255</v>
      </c>
      <c r="Q9" s="115">
        <v>255</v>
      </c>
      <c r="R9" s="115">
        <v>255</v>
      </c>
      <c r="S9" s="115">
        <v>205</v>
      </c>
      <c r="T9" s="115">
        <v>5</v>
      </c>
      <c r="U9" s="115">
        <v>80</v>
      </c>
      <c r="V9" s="115">
        <v>255</v>
      </c>
      <c r="W9" s="115">
        <v>255</v>
      </c>
      <c r="X9" s="115">
        <v>255</v>
      </c>
      <c r="Y9" s="115">
        <v>255</v>
      </c>
      <c r="Z9" s="115">
        <v>255</v>
      </c>
      <c r="AA9" s="115">
        <v>255</v>
      </c>
      <c r="AB9" s="115">
        <v>255</v>
      </c>
      <c r="AC9" s="115">
        <v>255</v>
      </c>
      <c r="AD9" s="115">
        <v>255</v>
      </c>
      <c r="AE9" s="115">
        <v>255</v>
      </c>
      <c r="AF9" s="115">
        <v>255</v>
      </c>
      <c r="AG9" s="115">
        <v>156</v>
      </c>
      <c r="AH9" s="115">
        <v>128</v>
      </c>
      <c r="AI9" s="115">
        <v>255</v>
      </c>
      <c r="AJ9" s="115">
        <v>255</v>
      </c>
      <c r="AK9" s="115">
        <v>255</v>
      </c>
      <c r="AL9" s="115">
        <v>255</v>
      </c>
      <c r="AM9" s="115">
        <v>255</v>
      </c>
      <c r="AN9" s="115">
        <v>227</v>
      </c>
      <c r="AO9" s="115">
        <v>251</v>
      </c>
      <c r="AP9" s="115">
        <v>255</v>
      </c>
      <c r="AQ9" s="115">
        <v>255</v>
      </c>
      <c r="AR9" s="115">
        <v>101</v>
      </c>
      <c r="AS9" s="115">
        <v>187</v>
      </c>
      <c r="AT9" s="115">
        <v>255</v>
      </c>
      <c r="AU9" s="115">
        <v>255</v>
      </c>
      <c r="AV9" s="115">
        <v>255</v>
      </c>
      <c r="AW9" s="115">
        <v>255</v>
      </c>
      <c r="AX9" s="115">
        <v>255</v>
      </c>
      <c r="AY9" s="115">
        <v>255</v>
      </c>
      <c r="AZ9" s="115">
        <v>255</v>
      </c>
      <c r="BA9" s="115">
        <v>255</v>
      </c>
      <c r="BB9" s="115">
        <v>255</v>
      </c>
      <c r="BC9" s="115">
        <v>255</v>
      </c>
      <c r="BD9" s="115">
        <v>255</v>
      </c>
      <c r="BE9" s="115">
        <v>255</v>
      </c>
      <c r="BF9" s="115">
        <v>255</v>
      </c>
      <c r="BG9" s="115">
        <v>169</v>
      </c>
      <c r="BH9" s="115">
        <v>117</v>
      </c>
      <c r="BI9" s="115">
        <v>255</v>
      </c>
      <c r="BJ9" s="115">
        <v>255</v>
      </c>
      <c r="BK9" s="115">
        <v>255</v>
      </c>
    </row>
    <row r="10" spans="1:63" ht="20" x14ac:dyDescent="0.25">
      <c r="B10" s="98" t="s">
        <v>47</v>
      </c>
      <c r="C10" s="109"/>
      <c r="D10" s="95"/>
      <c r="E10" s="102" t="str">
        <f>HYPERLINK("#Blueprint!X_4", "↓")</f>
        <v>↓</v>
      </c>
      <c r="F10" s="111" t="s">
        <v>128</v>
      </c>
      <c r="G10" s="187" t="str">
        <f t="shared" ref="G10:H10" si="3">HYPERLINK("#Blueprint_inference!X", "📌 Blueprint Inference Tab")</f>
        <v>📌 Blueprint Inference Tab</v>
      </c>
      <c r="H10" s="187"/>
      <c r="P10" s="115">
        <v>255</v>
      </c>
      <c r="Q10" s="115">
        <v>255</v>
      </c>
      <c r="R10" s="115">
        <v>255</v>
      </c>
      <c r="S10" s="115">
        <v>157</v>
      </c>
      <c r="T10" s="115">
        <v>108</v>
      </c>
      <c r="U10" s="115">
        <v>79</v>
      </c>
      <c r="V10" s="115">
        <v>228</v>
      </c>
      <c r="W10" s="115">
        <v>255</v>
      </c>
      <c r="X10" s="115">
        <v>255</v>
      </c>
      <c r="Y10" s="115">
        <v>255</v>
      </c>
      <c r="Z10" s="115">
        <v>255</v>
      </c>
      <c r="AA10" s="115">
        <v>254</v>
      </c>
      <c r="AB10" s="115">
        <v>255</v>
      </c>
      <c r="AC10" s="115">
        <v>255</v>
      </c>
      <c r="AD10" s="115">
        <v>255</v>
      </c>
      <c r="AE10" s="115">
        <v>194</v>
      </c>
      <c r="AF10" s="115">
        <v>243</v>
      </c>
      <c r="AG10" s="115">
        <v>169</v>
      </c>
      <c r="AH10" s="115">
        <v>121</v>
      </c>
      <c r="AI10" s="115">
        <v>255</v>
      </c>
      <c r="AJ10" s="115">
        <v>255</v>
      </c>
      <c r="AK10" s="115">
        <v>227</v>
      </c>
      <c r="AL10" s="115">
        <v>252</v>
      </c>
      <c r="AM10" s="115">
        <v>255</v>
      </c>
      <c r="AN10" s="115">
        <v>254</v>
      </c>
      <c r="AO10" s="115">
        <v>255</v>
      </c>
      <c r="AP10" s="115">
        <v>255</v>
      </c>
      <c r="AQ10" s="115">
        <v>255</v>
      </c>
      <c r="AR10" s="115">
        <v>94</v>
      </c>
      <c r="AS10" s="115">
        <v>203</v>
      </c>
      <c r="AT10" s="115">
        <v>255</v>
      </c>
      <c r="AU10" s="115">
        <v>255</v>
      </c>
      <c r="AV10" s="115">
        <v>255</v>
      </c>
      <c r="AW10" s="115">
        <v>255</v>
      </c>
      <c r="AX10" s="115">
        <v>255</v>
      </c>
      <c r="AY10" s="115">
        <v>251</v>
      </c>
      <c r="AZ10" s="115">
        <v>255</v>
      </c>
      <c r="BA10" s="115">
        <v>255</v>
      </c>
      <c r="BB10" s="115">
        <v>255</v>
      </c>
      <c r="BC10" s="115">
        <v>210</v>
      </c>
      <c r="BD10" s="115">
        <v>220</v>
      </c>
      <c r="BE10" s="115">
        <v>255</v>
      </c>
      <c r="BF10" s="115">
        <v>255</v>
      </c>
      <c r="BG10" s="115">
        <v>156</v>
      </c>
      <c r="BH10" s="115">
        <v>135</v>
      </c>
      <c r="BI10" s="115">
        <v>255</v>
      </c>
      <c r="BJ10" s="115">
        <v>255</v>
      </c>
      <c r="BK10" s="115">
        <v>255</v>
      </c>
    </row>
    <row r="11" spans="1:63" ht="20" x14ac:dyDescent="0.25">
      <c r="B11" s="98" t="s">
        <v>3</v>
      </c>
      <c r="C11" s="109">
        <v>8</v>
      </c>
      <c r="D11" s="95"/>
      <c r="E11" s="102" t="str">
        <f>HYPERLINK("#Blueprint!X_5", "↓")</f>
        <v>↓</v>
      </c>
      <c r="F11" s="111" t="s">
        <v>128</v>
      </c>
      <c r="G11" s="191" t="str">
        <f t="shared" ref="G11:H11" si="4">HYPERLINK("#Dashboard!A1", "📌 Dashboard Tab")</f>
        <v>📌 Dashboard Tab</v>
      </c>
      <c r="H11" s="191"/>
      <c r="P11" s="115">
        <v>255</v>
      </c>
      <c r="Q11" s="115">
        <v>255</v>
      </c>
      <c r="R11" s="115">
        <v>255</v>
      </c>
      <c r="S11" s="115">
        <v>116</v>
      </c>
      <c r="T11" s="115">
        <v>178</v>
      </c>
      <c r="U11" s="115">
        <v>119</v>
      </c>
      <c r="V11" s="115">
        <v>180</v>
      </c>
      <c r="W11" s="115">
        <v>255</v>
      </c>
      <c r="X11" s="115">
        <v>215</v>
      </c>
      <c r="Y11" s="115">
        <v>197</v>
      </c>
      <c r="Z11" s="115">
        <v>232</v>
      </c>
      <c r="AA11" s="115">
        <v>53</v>
      </c>
      <c r="AB11" s="115">
        <v>163</v>
      </c>
      <c r="AC11" s="115">
        <v>255</v>
      </c>
      <c r="AD11" s="115">
        <v>182</v>
      </c>
      <c r="AE11" s="115">
        <v>4</v>
      </c>
      <c r="AF11" s="115">
        <v>153</v>
      </c>
      <c r="AG11" s="115">
        <v>186</v>
      </c>
      <c r="AH11" s="115">
        <v>116</v>
      </c>
      <c r="AI11" s="115">
        <v>255</v>
      </c>
      <c r="AJ11" s="115">
        <v>210</v>
      </c>
      <c r="AK11" s="115">
        <v>18</v>
      </c>
      <c r="AL11" s="115">
        <v>178</v>
      </c>
      <c r="AM11" s="115">
        <v>255</v>
      </c>
      <c r="AN11" s="115">
        <v>113</v>
      </c>
      <c r="AO11" s="115">
        <v>231</v>
      </c>
      <c r="AP11" s="115">
        <v>255</v>
      </c>
      <c r="AQ11" s="115">
        <v>255</v>
      </c>
      <c r="AR11" s="115">
        <v>97</v>
      </c>
      <c r="AS11" s="115">
        <v>211</v>
      </c>
      <c r="AT11" s="115">
        <v>255</v>
      </c>
      <c r="AU11" s="115">
        <v>225</v>
      </c>
      <c r="AV11" s="115">
        <v>255</v>
      </c>
      <c r="AW11" s="115">
        <v>241</v>
      </c>
      <c r="AX11" s="115">
        <v>79</v>
      </c>
      <c r="AY11" s="115">
        <v>48</v>
      </c>
      <c r="AZ11" s="115">
        <v>223</v>
      </c>
      <c r="BA11" s="115">
        <v>255</v>
      </c>
      <c r="BB11" s="115">
        <v>228</v>
      </c>
      <c r="BC11" s="115">
        <v>20</v>
      </c>
      <c r="BD11" s="115">
        <v>80</v>
      </c>
      <c r="BE11" s="115">
        <v>254</v>
      </c>
      <c r="BF11" s="115">
        <v>255</v>
      </c>
      <c r="BG11" s="115">
        <v>158</v>
      </c>
      <c r="BH11" s="115">
        <v>140</v>
      </c>
      <c r="BI11" s="115">
        <v>255</v>
      </c>
      <c r="BJ11" s="115">
        <v>230</v>
      </c>
      <c r="BK11" s="115">
        <v>248</v>
      </c>
    </row>
    <row r="12" spans="1:63" ht="20" x14ac:dyDescent="0.25">
      <c r="B12" s="98" t="s">
        <v>47</v>
      </c>
      <c r="C12" s="109"/>
      <c r="D12" s="95"/>
      <c r="E12" s="102" t="str">
        <f>HYPERLINK("#Blueprint!X_6", "↓")</f>
        <v>↓</v>
      </c>
      <c r="F12" s="111" t="s">
        <v>128</v>
      </c>
      <c r="G12" s="192" t="s">
        <v>193</v>
      </c>
      <c r="H12" s="186"/>
      <c r="P12" s="115">
        <v>255</v>
      </c>
      <c r="Q12" s="115">
        <v>255</v>
      </c>
      <c r="R12" s="115">
        <v>255</v>
      </c>
      <c r="S12" s="115">
        <v>87</v>
      </c>
      <c r="T12" s="115">
        <v>220</v>
      </c>
      <c r="U12" s="115">
        <v>163</v>
      </c>
      <c r="V12" s="115">
        <v>134</v>
      </c>
      <c r="W12" s="115">
        <v>255</v>
      </c>
      <c r="X12" s="115">
        <v>163</v>
      </c>
      <c r="Y12" s="115">
        <v>118</v>
      </c>
      <c r="Z12" s="115">
        <v>125</v>
      </c>
      <c r="AA12" s="115">
        <v>69</v>
      </c>
      <c r="AB12" s="115">
        <v>82</v>
      </c>
      <c r="AC12" s="115">
        <v>255</v>
      </c>
      <c r="AD12" s="115">
        <v>71</v>
      </c>
      <c r="AE12" s="115">
        <v>131</v>
      </c>
      <c r="AF12" s="115">
        <v>142</v>
      </c>
      <c r="AG12" s="115">
        <v>192</v>
      </c>
      <c r="AH12" s="115">
        <v>113</v>
      </c>
      <c r="AI12" s="115">
        <v>255</v>
      </c>
      <c r="AJ12" s="115">
        <v>106</v>
      </c>
      <c r="AK12" s="115">
        <v>99</v>
      </c>
      <c r="AL12" s="115">
        <v>113</v>
      </c>
      <c r="AM12" s="115">
        <v>255</v>
      </c>
      <c r="AN12" s="115">
        <v>76</v>
      </c>
      <c r="AO12" s="115">
        <v>215</v>
      </c>
      <c r="AP12" s="115">
        <v>255</v>
      </c>
      <c r="AQ12" s="115">
        <v>255</v>
      </c>
      <c r="AR12" s="115">
        <v>100</v>
      </c>
      <c r="AS12" s="115">
        <v>140</v>
      </c>
      <c r="AT12" s="115">
        <v>96</v>
      </c>
      <c r="AU12" s="115">
        <v>52</v>
      </c>
      <c r="AV12" s="115">
        <v>255</v>
      </c>
      <c r="AW12" s="115">
        <v>111</v>
      </c>
      <c r="AX12" s="115">
        <v>122</v>
      </c>
      <c r="AY12" s="115">
        <v>87</v>
      </c>
      <c r="AZ12" s="115">
        <v>165</v>
      </c>
      <c r="BA12" s="115">
        <v>255</v>
      </c>
      <c r="BB12" s="115">
        <v>123</v>
      </c>
      <c r="BC12" s="115">
        <v>102</v>
      </c>
      <c r="BD12" s="115">
        <v>116</v>
      </c>
      <c r="BE12" s="115">
        <v>255</v>
      </c>
      <c r="BF12" s="115">
        <v>255</v>
      </c>
      <c r="BG12" s="115">
        <v>165</v>
      </c>
      <c r="BH12" s="115">
        <v>100</v>
      </c>
      <c r="BI12" s="115">
        <v>129</v>
      </c>
      <c r="BJ12" s="115">
        <v>28</v>
      </c>
      <c r="BK12" s="115">
        <v>208</v>
      </c>
    </row>
    <row r="13" spans="1:63" ht="20" x14ac:dyDescent="0.25">
      <c r="B13" s="98" t="s">
        <v>6</v>
      </c>
      <c r="C13" s="109"/>
      <c r="D13" s="95"/>
      <c r="E13" s="102" t="str">
        <f>HYPERLINK("#Blueprint!X_7", "↓")</f>
        <v>↓</v>
      </c>
      <c r="F13" s="111" t="s">
        <v>128</v>
      </c>
      <c r="G13" s="187"/>
      <c r="H13" s="187"/>
      <c r="P13" s="115">
        <v>255</v>
      </c>
      <c r="Q13" s="115">
        <v>255</v>
      </c>
      <c r="R13" s="115">
        <v>244</v>
      </c>
      <c r="S13" s="115">
        <v>79</v>
      </c>
      <c r="T13" s="115">
        <v>253</v>
      </c>
      <c r="U13" s="115">
        <v>209</v>
      </c>
      <c r="V13" s="115">
        <v>96</v>
      </c>
      <c r="W13" s="115">
        <v>238</v>
      </c>
      <c r="X13" s="115">
        <v>173</v>
      </c>
      <c r="Y13" s="115">
        <v>82</v>
      </c>
      <c r="Z13" s="115">
        <v>102</v>
      </c>
      <c r="AA13" s="115">
        <v>246</v>
      </c>
      <c r="AB13" s="115">
        <v>226</v>
      </c>
      <c r="AC13" s="115">
        <v>213</v>
      </c>
      <c r="AD13" s="115">
        <v>65</v>
      </c>
      <c r="AE13" s="115">
        <v>243</v>
      </c>
      <c r="AF13" s="115">
        <v>223</v>
      </c>
      <c r="AG13" s="115">
        <v>193</v>
      </c>
      <c r="AH13" s="115">
        <v>115</v>
      </c>
      <c r="AI13" s="115">
        <v>235</v>
      </c>
      <c r="AJ13" s="115">
        <v>88</v>
      </c>
      <c r="AK13" s="115">
        <v>227</v>
      </c>
      <c r="AL13" s="115">
        <v>93</v>
      </c>
      <c r="AM13" s="115">
        <v>255</v>
      </c>
      <c r="AN13" s="115">
        <v>86</v>
      </c>
      <c r="AO13" s="115">
        <v>209</v>
      </c>
      <c r="AP13" s="115">
        <v>157</v>
      </c>
      <c r="AQ13" s="115">
        <v>80</v>
      </c>
      <c r="AR13" s="115">
        <v>15</v>
      </c>
      <c r="AS13" s="115">
        <v>19</v>
      </c>
      <c r="AT13" s="115">
        <v>68</v>
      </c>
      <c r="AU13" s="115">
        <v>169</v>
      </c>
      <c r="AV13" s="115">
        <v>221</v>
      </c>
      <c r="AW13" s="115">
        <v>89</v>
      </c>
      <c r="AX13" s="115">
        <v>210</v>
      </c>
      <c r="AY13" s="115">
        <v>57</v>
      </c>
      <c r="AZ13" s="115">
        <v>220</v>
      </c>
      <c r="BA13" s="115">
        <v>249</v>
      </c>
      <c r="BB13" s="115">
        <v>61</v>
      </c>
      <c r="BC13" s="115">
        <v>220</v>
      </c>
      <c r="BD13" s="115">
        <v>217</v>
      </c>
      <c r="BE13" s="115">
        <v>185</v>
      </c>
      <c r="BF13" s="115">
        <v>104</v>
      </c>
      <c r="BG13" s="115">
        <v>31</v>
      </c>
      <c r="BH13" s="115">
        <v>10</v>
      </c>
      <c r="BI13" s="115">
        <v>49</v>
      </c>
      <c r="BJ13" s="115">
        <v>127</v>
      </c>
      <c r="BK13" s="115">
        <v>244</v>
      </c>
    </row>
    <row r="14" spans="1:63" ht="20" x14ac:dyDescent="0.25">
      <c r="B14" s="98" t="s">
        <v>48</v>
      </c>
      <c r="C14" s="109"/>
      <c r="D14" s="95"/>
      <c r="E14" s="102" t="str">
        <f>HYPERLINK("#Blueprint!X_8", "↓")</f>
        <v>↓</v>
      </c>
      <c r="F14" s="111" t="s">
        <v>128</v>
      </c>
      <c r="G14" s="191"/>
      <c r="H14" s="191"/>
      <c r="P14" s="115">
        <v>255</v>
      </c>
      <c r="Q14" s="115">
        <v>255</v>
      </c>
      <c r="R14" s="115">
        <v>222</v>
      </c>
      <c r="S14" s="115">
        <v>86</v>
      </c>
      <c r="T14" s="115">
        <v>214</v>
      </c>
      <c r="U14" s="115">
        <v>138</v>
      </c>
      <c r="V14" s="115">
        <v>17</v>
      </c>
      <c r="W14" s="115">
        <v>86</v>
      </c>
      <c r="X14" s="115">
        <v>186</v>
      </c>
      <c r="Y14" s="115">
        <v>19</v>
      </c>
      <c r="Z14" s="115">
        <v>166</v>
      </c>
      <c r="AA14" s="115">
        <v>255</v>
      </c>
      <c r="AB14" s="115">
        <v>255</v>
      </c>
      <c r="AC14" s="115">
        <v>145</v>
      </c>
      <c r="AD14" s="115">
        <v>124</v>
      </c>
      <c r="AE14" s="115">
        <v>255</v>
      </c>
      <c r="AF14" s="115">
        <v>255</v>
      </c>
      <c r="AG14" s="115">
        <v>195</v>
      </c>
      <c r="AH14" s="115">
        <v>121</v>
      </c>
      <c r="AI14" s="115">
        <v>167</v>
      </c>
      <c r="AJ14" s="115">
        <v>141</v>
      </c>
      <c r="AK14" s="115">
        <v>246</v>
      </c>
      <c r="AL14" s="115">
        <v>88</v>
      </c>
      <c r="AM14" s="115">
        <v>255</v>
      </c>
      <c r="AN14" s="115">
        <v>94</v>
      </c>
      <c r="AO14" s="115">
        <v>200</v>
      </c>
      <c r="AP14" s="115">
        <v>69</v>
      </c>
      <c r="AQ14" s="115">
        <v>105</v>
      </c>
      <c r="AR14" s="115">
        <v>65</v>
      </c>
      <c r="AS14" s="115">
        <v>184</v>
      </c>
      <c r="AT14" s="115">
        <v>255</v>
      </c>
      <c r="AU14" s="115">
        <v>255</v>
      </c>
      <c r="AV14" s="115">
        <v>151</v>
      </c>
      <c r="AW14" s="115">
        <v>43</v>
      </c>
      <c r="AX14" s="115">
        <v>43</v>
      </c>
      <c r="AY14" s="115">
        <v>172</v>
      </c>
      <c r="AZ14" s="115">
        <v>255</v>
      </c>
      <c r="BA14" s="115">
        <v>206</v>
      </c>
      <c r="BB14" s="115">
        <v>75</v>
      </c>
      <c r="BC14" s="115">
        <v>255</v>
      </c>
      <c r="BD14" s="115">
        <v>255</v>
      </c>
      <c r="BE14" s="115">
        <v>114</v>
      </c>
      <c r="BF14" s="115">
        <v>78</v>
      </c>
      <c r="BG14" s="115">
        <v>96</v>
      </c>
      <c r="BH14" s="115">
        <v>116</v>
      </c>
      <c r="BI14" s="115">
        <v>255</v>
      </c>
      <c r="BJ14" s="115">
        <v>255</v>
      </c>
      <c r="BK14" s="115">
        <v>255</v>
      </c>
    </row>
    <row r="15" spans="1:63" ht="20" x14ac:dyDescent="0.25">
      <c r="B15" s="98" t="s">
        <v>3</v>
      </c>
      <c r="C15" s="109">
        <v>10</v>
      </c>
      <c r="D15" s="95"/>
      <c r="E15" s="102" t="str">
        <f>HYPERLINK("#Blueprint!X_9", "↓")</f>
        <v>↓</v>
      </c>
      <c r="F15" s="111" t="s">
        <v>128</v>
      </c>
      <c r="G15" s="192"/>
      <c r="H15" s="186"/>
      <c r="P15" s="115">
        <v>252</v>
      </c>
      <c r="Q15" s="115">
        <v>195</v>
      </c>
      <c r="R15" s="115">
        <v>94</v>
      </c>
      <c r="S15" s="115">
        <v>8</v>
      </c>
      <c r="T15" s="115">
        <v>17</v>
      </c>
      <c r="U15" s="115">
        <v>39</v>
      </c>
      <c r="V15" s="115">
        <v>25</v>
      </c>
      <c r="W15" s="115">
        <v>185</v>
      </c>
      <c r="X15" s="115">
        <v>192</v>
      </c>
      <c r="Y15" s="115">
        <v>12</v>
      </c>
      <c r="Z15" s="115">
        <v>230</v>
      </c>
      <c r="AA15" s="115">
        <v>255</v>
      </c>
      <c r="AB15" s="115">
        <v>255</v>
      </c>
      <c r="AC15" s="115">
        <v>95</v>
      </c>
      <c r="AD15" s="115">
        <v>183</v>
      </c>
      <c r="AE15" s="115">
        <v>255</v>
      </c>
      <c r="AF15" s="115">
        <v>246</v>
      </c>
      <c r="AG15" s="115">
        <v>193</v>
      </c>
      <c r="AH15" s="115">
        <v>120</v>
      </c>
      <c r="AI15" s="115">
        <v>108</v>
      </c>
      <c r="AJ15" s="115">
        <v>206</v>
      </c>
      <c r="AK15" s="115">
        <v>244</v>
      </c>
      <c r="AL15" s="115">
        <v>87</v>
      </c>
      <c r="AM15" s="115">
        <v>255</v>
      </c>
      <c r="AN15" s="115">
        <v>98</v>
      </c>
      <c r="AO15" s="115">
        <v>215</v>
      </c>
      <c r="AP15" s="115">
        <v>255</v>
      </c>
      <c r="AQ15" s="115">
        <v>255</v>
      </c>
      <c r="AR15" s="115">
        <v>106</v>
      </c>
      <c r="AS15" s="115">
        <v>192</v>
      </c>
      <c r="AT15" s="115">
        <v>255</v>
      </c>
      <c r="AU15" s="115">
        <v>255</v>
      </c>
      <c r="AV15" s="115">
        <v>95</v>
      </c>
      <c r="AW15" s="115">
        <v>95</v>
      </c>
      <c r="AX15" s="115">
        <v>218</v>
      </c>
      <c r="AY15" s="115">
        <v>255</v>
      </c>
      <c r="AZ15" s="115">
        <v>209</v>
      </c>
      <c r="BA15" s="115">
        <v>142</v>
      </c>
      <c r="BB15" s="115">
        <v>123</v>
      </c>
      <c r="BC15" s="115">
        <v>255</v>
      </c>
      <c r="BD15" s="115">
        <v>251</v>
      </c>
      <c r="BE15" s="115">
        <v>245</v>
      </c>
      <c r="BF15" s="115">
        <v>255</v>
      </c>
      <c r="BG15" s="115">
        <v>175</v>
      </c>
      <c r="BH15" s="115">
        <v>123</v>
      </c>
      <c r="BI15" s="115">
        <v>255</v>
      </c>
      <c r="BJ15" s="115">
        <v>255</v>
      </c>
      <c r="BK15" s="115">
        <v>255</v>
      </c>
    </row>
    <row r="16" spans="1:63" ht="20" x14ac:dyDescent="0.25">
      <c r="B16" s="98" t="s">
        <v>48</v>
      </c>
      <c r="C16" s="109"/>
      <c r="D16" s="95"/>
      <c r="E16" s="102" t="str">
        <f>HYPERLINK("#Blueprint!X_10", "↓")</f>
        <v>↓</v>
      </c>
      <c r="F16" s="111" t="s">
        <v>128</v>
      </c>
      <c r="G16" s="186"/>
      <c r="H16" s="186"/>
      <c r="P16" s="115">
        <v>216</v>
      </c>
      <c r="Q16" s="115">
        <v>15</v>
      </c>
      <c r="R16" s="115">
        <v>7</v>
      </c>
      <c r="S16" s="115">
        <v>114</v>
      </c>
      <c r="T16" s="115">
        <v>213</v>
      </c>
      <c r="U16" s="115">
        <v>250</v>
      </c>
      <c r="V16" s="115">
        <v>85</v>
      </c>
      <c r="W16" s="115">
        <v>218</v>
      </c>
      <c r="X16" s="115">
        <v>189</v>
      </c>
      <c r="Y16" s="115">
        <v>67</v>
      </c>
      <c r="Z16" s="115">
        <v>255</v>
      </c>
      <c r="AA16" s="115">
        <v>255</v>
      </c>
      <c r="AB16" s="115">
        <v>252</v>
      </c>
      <c r="AC16" s="115">
        <v>72</v>
      </c>
      <c r="AD16" s="115">
        <v>223</v>
      </c>
      <c r="AE16" s="115">
        <v>255</v>
      </c>
      <c r="AF16" s="115">
        <v>135</v>
      </c>
      <c r="AG16" s="115">
        <v>181</v>
      </c>
      <c r="AH16" s="115">
        <v>100</v>
      </c>
      <c r="AI16" s="115">
        <v>92</v>
      </c>
      <c r="AJ16" s="115">
        <v>249</v>
      </c>
      <c r="AK16" s="115">
        <v>239</v>
      </c>
      <c r="AL16" s="115">
        <v>86</v>
      </c>
      <c r="AM16" s="115">
        <v>255</v>
      </c>
      <c r="AN16" s="115">
        <v>104</v>
      </c>
      <c r="AO16" s="115">
        <v>213</v>
      </c>
      <c r="AP16" s="115">
        <v>255</v>
      </c>
      <c r="AQ16" s="115">
        <v>255</v>
      </c>
      <c r="AR16" s="115">
        <v>105</v>
      </c>
      <c r="AS16" s="115">
        <v>187</v>
      </c>
      <c r="AT16" s="115">
        <v>255</v>
      </c>
      <c r="AU16" s="115">
        <v>255</v>
      </c>
      <c r="AV16" s="115">
        <v>74</v>
      </c>
      <c r="AW16" s="115">
        <v>220</v>
      </c>
      <c r="AX16" s="115">
        <v>255</v>
      </c>
      <c r="AY16" s="115">
        <v>252</v>
      </c>
      <c r="AZ16" s="115">
        <v>130</v>
      </c>
      <c r="BA16" s="115">
        <v>102</v>
      </c>
      <c r="BB16" s="115">
        <v>169</v>
      </c>
      <c r="BC16" s="115">
        <v>255</v>
      </c>
      <c r="BD16" s="115">
        <v>163</v>
      </c>
      <c r="BE16" s="115">
        <v>191</v>
      </c>
      <c r="BF16" s="115">
        <v>255</v>
      </c>
      <c r="BG16" s="115">
        <v>172</v>
      </c>
      <c r="BH16" s="115">
        <v>118</v>
      </c>
      <c r="BI16" s="115">
        <v>255</v>
      </c>
      <c r="BJ16" s="115">
        <v>255</v>
      </c>
      <c r="BK16" s="115">
        <v>255</v>
      </c>
    </row>
    <row r="17" spans="2:63" ht="20" x14ac:dyDescent="0.25">
      <c r="B17" s="98" t="s">
        <v>49</v>
      </c>
      <c r="C17" s="109"/>
      <c r="D17" s="95"/>
      <c r="E17" s="102" t="str">
        <f>HYPERLINK("#Blueprint!X_11", "↓")</f>
        <v>↓</v>
      </c>
      <c r="F17" s="111" t="s">
        <v>128</v>
      </c>
      <c r="G17" s="186"/>
      <c r="H17" s="186"/>
      <c r="P17" s="115">
        <v>246</v>
      </c>
      <c r="Q17" s="115">
        <v>214</v>
      </c>
      <c r="R17" s="115">
        <v>75</v>
      </c>
      <c r="S17" s="115">
        <v>212</v>
      </c>
      <c r="T17" s="115">
        <v>255</v>
      </c>
      <c r="U17" s="115">
        <v>255</v>
      </c>
      <c r="V17" s="115">
        <v>104</v>
      </c>
      <c r="W17" s="115">
        <v>185</v>
      </c>
      <c r="X17" s="115">
        <v>192</v>
      </c>
      <c r="Y17" s="115">
        <v>110</v>
      </c>
      <c r="Z17" s="115">
        <v>255</v>
      </c>
      <c r="AA17" s="115">
        <v>255</v>
      </c>
      <c r="AB17" s="115">
        <v>238</v>
      </c>
      <c r="AC17" s="115">
        <v>71</v>
      </c>
      <c r="AD17" s="115">
        <v>251</v>
      </c>
      <c r="AE17" s="115">
        <v>201</v>
      </c>
      <c r="AF17" s="115">
        <v>119</v>
      </c>
      <c r="AG17" s="115">
        <v>219</v>
      </c>
      <c r="AH17" s="115">
        <v>52</v>
      </c>
      <c r="AI17" s="115">
        <v>120</v>
      </c>
      <c r="AJ17" s="115">
        <v>255</v>
      </c>
      <c r="AK17" s="115">
        <v>237</v>
      </c>
      <c r="AL17" s="115">
        <v>82</v>
      </c>
      <c r="AM17" s="115">
        <v>255</v>
      </c>
      <c r="AN17" s="115">
        <v>110</v>
      </c>
      <c r="AO17" s="115">
        <v>208</v>
      </c>
      <c r="AP17" s="115">
        <v>255</v>
      </c>
      <c r="AQ17" s="115">
        <v>255</v>
      </c>
      <c r="AR17" s="115">
        <v>111</v>
      </c>
      <c r="AS17" s="115">
        <v>180</v>
      </c>
      <c r="AT17" s="115">
        <v>255</v>
      </c>
      <c r="AU17" s="115">
        <v>254</v>
      </c>
      <c r="AV17" s="115">
        <v>67</v>
      </c>
      <c r="AW17" s="115">
        <v>218</v>
      </c>
      <c r="AX17" s="115">
        <v>255</v>
      </c>
      <c r="AY17" s="115">
        <v>203</v>
      </c>
      <c r="AZ17" s="115">
        <v>126</v>
      </c>
      <c r="BA17" s="115">
        <v>97</v>
      </c>
      <c r="BB17" s="115">
        <v>204</v>
      </c>
      <c r="BC17" s="115">
        <v>244</v>
      </c>
      <c r="BD17" s="115">
        <v>92</v>
      </c>
      <c r="BE17" s="115">
        <v>241</v>
      </c>
      <c r="BF17" s="115">
        <v>255</v>
      </c>
      <c r="BG17" s="115">
        <v>179</v>
      </c>
      <c r="BH17" s="115">
        <v>112</v>
      </c>
      <c r="BI17" s="115">
        <v>255</v>
      </c>
      <c r="BJ17" s="115">
        <v>255</v>
      </c>
      <c r="BK17" s="115">
        <v>255</v>
      </c>
    </row>
    <row r="18" spans="2:63" ht="20" x14ac:dyDescent="0.25">
      <c r="B18" s="98" t="s">
        <v>52</v>
      </c>
      <c r="C18" s="109"/>
      <c r="D18" s="95"/>
      <c r="E18" s="102" t="str">
        <f>HYPERLINK("#Blueprint!L_12", "↓")</f>
        <v>↓</v>
      </c>
      <c r="F18"/>
      <c r="G18" s="187"/>
      <c r="H18" s="187"/>
      <c r="P18" s="115">
        <v>255</v>
      </c>
      <c r="Q18" s="115">
        <v>241</v>
      </c>
      <c r="R18" s="115">
        <v>64</v>
      </c>
      <c r="S18" s="115">
        <v>242</v>
      </c>
      <c r="T18" s="115">
        <v>255</v>
      </c>
      <c r="U18" s="115">
        <v>255</v>
      </c>
      <c r="V18" s="115">
        <v>126</v>
      </c>
      <c r="W18" s="115">
        <v>157</v>
      </c>
      <c r="X18" s="115">
        <v>197</v>
      </c>
      <c r="Y18" s="115">
        <v>103</v>
      </c>
      <c r="Z18" s="115">
        <v>255</v>
      </c>
      <c r="AA18" s="115">
        <v>255</v>
      </c>
      <c r="AB18" s="115">
        <v>233</v>
      </c>
      <c r="AC18" s="115">
        <v>71</v>
      </c>
      <c r="AD18" s="115">
        <v>240</v>
      </c>
      <c r="AE18" s="115">
        <v>83</v>
      </c>
      <c r="AF18" s="115">
        <v>214</v>
      </c>
      <c r="AG18" s="115">
        <v>224</v>
      </c>
      <c r="AH18" s="115">
        <v>8</v>
      </c>
      <c r="AI18" s="115">
        <v>174</v>
      </c>
      <c r="AJ18" s="115">
        <v>255</v>
      </c>
      <c r="AK18" s="115">
        <v>235</v>
      </c>
      <c r="AL18" s="115">
        <v>77</v>
      </c>
      <c r="AM18" s="115">
        <v>255</v>
      </c>
      <c r="AN18" s="115">
        <v>115</v>
      </c>
      <c r="AO18" s="115">
        <v>196</v>
      </c>
      <c r="AP18" s="115">
        <v>255</v>
      </c>
      <c r="AQ18" s="115">
        <v>255</v>
      </c>
      <c r="AR18" s="115">
        <v>120</v>
      </c>
      <c r="AS18" s="115">
        <v>168</v>
      </c>
      <c r="AT18" s="115">
        <v>255</v>
      </c>
      <c r="AU18" s="115">
        <v>255</v>
      </c>
      <c r="AV18" s="115">
        <v>70</v>
      </c>
      <c r="AW18" s="115">
        <v>166</v>
      </c>
      <c r="AX18" s="115">
        <v>248</v>
      </c>
      <c r="AY18" s="115">
        <v>87</v>
      </c>
      <c r="AZ18" s="115">
        <v>194</v>
      </c>
      <c r="BA18" s="115">
        <v>89</v>
      </c>
      <c r="BB18" s="115">
        <v>214</v>
      </c>
      <c r="BC18" s="115">
        <v>126</v>
      </c>
      <c r="BD18" s="115">
        <v>155</v>
      </c>
      <c r="BE18" s="115">
        <v>255</v>
      </c>
      <c r="BF18" s="115">
        <v>255</v>
      </c>
      <c r="BG18" s="115">
        <v>189</v>
      </c>
      <c r="BH18" s="115">
        <v>101</v>
      </c>
      <c r="BI18" s="115">
        <v>255</v>
      </c>
      <c r="BJ18" s="115">
        <v>255</v>
      </c>
      <c r="BK18" s="115">
        <v>255</v>
      </c>
    </row>
    <row r="19" spans="2:63" ht="20" x14ac:dyDescent="0.25">
      <c r="B19" s="98"/>
      <c r="C19" s="109"/>
      <c r="D19" s="95"/>
      <c r="E19"/>
      <c r="F19"/>
      <c r="G19" s="191"/>
      <c r="H19" s="191"/>
      <c r="P19" s="115">
        <v>255</v>
      </c>
      <c r="Q19" s="115">
        <v>196</v>
      </c>
      <c r="R19" s="115">
        <v>79</v>
      </c>
      <c r="S19" s="115">
        <v>255</v>
      </c>
      <c r="T19" s="115">
        <v>255</v>
      </c>
      <c r="U19" s="115">
        <v>255</v>
      </c>
      <c r="V19" s="115">
        <v>151</v>
      </c>
      <c r="W19" s="115">
        <v>124</v>
      </c>
      <c r="X19" s="115">
        <v>205</v>
      </c>
      <c r="Y19" s="115">
        <v>90</v>
      </c>
      <c r="Z19" s="115">
        <v>255</v>
      </c>
      <c r="AA19" s="115">
        <v>255</v>
      </c>
      <c r="AB19" s="115">
        <v>251</v>
      </c>
      <c r="AC19" s="115">
        <v>62</v>
      </c>
      <c r="AD19" s="115">
        <v>34</v>
      </c>
      <c r="AE19" s="115">
        <v>126</v>
      </c>
      <c r="AF19" s="115">
        <v>255</v>
      </c>
      <c r="AG19" s="115">
        <v>219</v>
      </c>
      <c r="AH19" s="115">
        <v>23</v>
      </c>
      <c r="AI19" s="115">
        <v>224</v>
      </c>
      <c r="AJ19" s="115">
        <v>255</v>
      </c>
      <c r="AK19" s="115">
        <v>232</v>
      </c>
      <c r="AL19" s="115">
        <v>71</v>
      </c>
      <c r="AM19" s="115">
        <v>255</v>
      </c>
      <c r="AN19" s="115">
        <v>120</v>
      </c>
      <c r="AO19" s="115">
        <v>173</v>
      </c>
      <c r="AP19" s="115">
        <v>255</v>
      </c>
      <c r="AQ19" s="115">
        <v>255</v>
      </c>
      <c r="AR19" s="115">
        <v>134</v>
      </c>
      <c r="AS19" s="115">
        <v>130</v>
      </c>
      <c r="AT19" s="115">
        <v>255</v>
      </c>
      <c r="AU19" s="115">
        <v>255</v>
      </c>
      <c r="AV19" s="115">
        <v>149</v>
      </c>
      <c r="AW19" s="115">
        <v>10</v>
      </c>
      <c r="AX19" s="115">
        <v>34</v>
      </c>
      <c r="AY19" s="115">
        <v>86</v>
      </c>
      <c r="AZ19" s="115">
        <v>255</v>
      </c>
      <c r="BA19" s="115">
        <v>117</v>
      </c>
      <c r="BB19" s="115">
        <v>34</v>
      </c>
      <c r="BC19" s="115">
        <v>75</v>
      </c>
      <c r="BD19" s="115">
        <v>249</v>
      </c>
      <c r="BE19" s="115">
        <v>255</v>
      </c>
      <c r="BF19" s="115">
        <v>255</v>
      </c>
      <c r="BG19" s="115">
        <v>206</v>
      </c>
      <c r="BH19" s="115">
        <v>70</v>
      </c>
      <c r="BI19" s="115">
        <v>254</v>
      </c>
      <c r="BJ19" s="115">
        <v>255</v>
      </c>
      <c r="BK19" s="115">
        <v>255</v>
      </c>
    </row>
    <row r="20" spans="2:63" ht="20" x14ac:dyDescent="0.25">
      <c r="B20" s="103"/>
      <c r="C20" s="109"/>
      <c r="D20" s="95"/>
      <c r="E20"/>
      <c r="F20"/>
      <c r="G20" s="114"/>
      <c r="P20" s="115">
        <v>255</v>
      </c>
      <c r="Q20" s="115">
        <v>146</v>
      </c>
      <c r="R20" s="115">
        <v>116</v>
      </c>
      <c r="S20" s="115">
        <v>255</v>
      </c>
      <c r="T20" s="115">
        <v>255</v>
      </c>
      <c r="U20" s="115">
        <v>255</v>
      </c>
      <c r="V20" s="115">
        <v>181</v>
      </c>
      <c r="W20" s="115">
        <v>84</v>
      </c>
      <c r="X20" s="115">
        <v>228</v>
      </c>
      <c r="Y20" s="115">
        <v>143</v>
      </c>
      <c r="Z20" s="115">
        <v>255</v>
      </c>
      <c r="AA20" s="115">
        <v>255</v>
      </c>
      <c r="AB20" s="115">
        <v>255</v>
      </c>
      <c r="AC20" s="115">
        <v>189</v>
      </c>
      <c r="AD20" s="115">
        <v>128</v>
      </c>
      <c r="AE20" s="115">
        <v>249</v>
      </c>
      <c r="AF20" s="115">
        <v>255</v>
      </c>
      <c r="AG20" s="115">
        <v>215</v>
      </c>
      <c r="AH20" s="115">
        <v>63</v>
      </c>
      <c r="AI20" s="115">
        <v>252</v>
      </c>
      <c r="AJ20" s="115">
        <v>255</v>
      </c>
      <c r="AK20" s="115">
        <v>229</v>
      </c>
      <c r="AL20" s="115">
        <v>69</v>
      </c>
      <c r="AM20" s="115">
        <v>255</v>
      </c>
      <c r="AN20" s="115">
        <v>163</v>
      </c>
      <c r="AO20" s="115">
        <v>182</v>
      </c>
      <c r="AP20" s="115">
        <v>255</v>
      </c>
      <c r="AQ20" s="115">
        <v>255</v>
      </c>
      <c r="AR20" s="115">
        <v>190</v>
      </c>
      <c r="AS20" s="115">
        <v>164</v>
      </c>
      <c r="AT20" s="115">
        <v>255</v>
      </c>
      <c r="AU20" s="115">
        <v>255</v>
      </c>
      <c r="AV20" s="115">
        <v>250</v>
      </c>
      <c r="AW20" s="115">
        <v>138</v>
      </c>
      <c r="AX20" s="115">
        <v>121</v>
      </c>
      <c r="AY20" s="115">
        <v>239</v>
      </c>
      <c r="AZ20" s="115">
        <v>255</v>
      </c>
      <c r="BA20" s="115">
        <v>225</v>
      </c>
      <c r="BB20" s="115">
        <v>118</v>
      </c>
      <c r="BC20" s="115">
        <v>226</v>
      </c>
      <c r="BD20" s="115">
        <v>255</v>
      </c>
      <c r="BE20" s="115">
        <v>255</v>
      </c>
      <c r="BF20" s="115">
        <v>255</v>
      </c>
      <c r="BG20" s="115">
        <v>235</v>
      </c>
      <c r="BH20" s="115">
        <v>130</v>
      </c>
      <c r="BI20" s="115">
        <v>254</v>
      </c>
      <c r="BJ20" s="115">
        <v>255</v>
      </c>
      <c r="BK20" s="115">
        <v>255</v>
      </c>
    </row>
    <row r="21" spans="2:63" ht="20" x14ac:dyDescent="0.25">
      <c r="B21" s="103"/>
      <c r="C21" s="109"/>
      <c r="D21" s="95"/>
      <c r="E21"/>
      <c r="F21"/>
      <c r="G21" s="99"/>
      <c r="P21" s="115">
        <v>255</v>
      </c>
      <c r="Q21" s="115">
        <v>92</v>
      </c>
      <c r="R21" s="115">
        <v>158</v>
      </c>
      <c r="S21" s="115">
        <v>255</v>
      </c>
      <c r="T21" s="115">
        <v>255</v>
      </c>
      <c r="U21" s="115">
        <v>255</v>
      </c>
      <c r="V21" s="115">
        <v>232</v>
      </c>
      <c r="W21" s="115">
        <v>166</v>
      </c>
      <c r="X21" s="115">
        <v>255</v>
      </c>
      <c r="Y21" s="115">
        <v>255</v>
      </c>
      <c r="Z21" s="115">
        <v>255</v>
      </c>
      <c r="AA21" s="115">
        <v>255</v>
      </c>
      <c r="AB21" s="115">
        <v>255</v>
      </c>
      <c r="AC21" s="115">
        <v>255</v>
      </c>
      <c r="AD21" s="115">
        <v>255</v>
      </c>
      <c r="AE21" s="115">
        <v>255</v>
      </c>
      <c r="AF21" s="115">
        <v>255</v>
      </c>
      <c r="AG21" s="115">
        <v>238</v>
      </c>
      <c r="AH21" s="115">
        <v>190</v>
      </c>
      <c r="AI21" s="115">
        <v>255</v>
      </c>
      <c r="AJ21" s="115">
        <v>255</v>
      </c>
      <c r="AK21" s="115">
        <v>249</v>
      </c>
      <c r="AL21" s="115">
        <v>211</v>
      </c>
      <c r="AM21" s="115">
        <v>255</v>
      </c>
      <c r="AN21" s="115">
        <v>254</v>
      </c>
      <c r="AO21" s="115">
        <v>254</v>
      </c>
      <c r="AP21" s="115">
        <v>255</v>
      </c>
      <c r="AQ21" s="115">
        <v>255</v>
      </c>
      <c r="AR21" s="115">
        <v>255</v>
      </c>
      <c r="AS21" s="115">
        <v>255</v>
      </c>
      <c r="AT21" s="115">
        <v>255</v>
      </c>
      <c r="AU21" s="115">
        <v>255</v>
      </c>
      <c r="AV21" s="115">
        <v>255</v>
      </c>
      <c r="AW21" s="115">
        <v>255</v>
      </c>
      <c r="AX21" s="115">
        <v>255</v>
      </c>
      <c r="AY21" s="115">
        <v>255</v>
      </c>
      <c r="AZ21" s="115">
        <v>255</v>
      </c>
      <c r="BA21" s="115">
        <v>255</v>
      </c>
      <c r="BB21" s="115">
        <v>255</v>
      </c>
      <c r="BC21" s="115">
        <v>255</v>
      </c>
      <c r="BD21" s="115">
        <v>255</v>
      </c>
      <c r="BE21" s="115">
        <v>255</v>
      </c>
      <c r="BF21" s="115">
        <v>255</v>
      </c>
      <c r="BG21" s="115">
        <v>255</v>
      </c>
      <c r="BH21" s="115">
        <v>255</v>
      </c>
      <c r="BI21" s="115">
        <v>255</v>
      </c>
      <c r="BJ21" s="115">
        <v>255</v>
      </c>
      <c r="BK21" s="115">
        <v>255</v>
      </c>
    </row>
    <row r="22" spans="2:63" ht="20" x14ac:dyDescent="0.25">
      <c r="B22" s="103"/>
      <c r="C22" s="109"/>
      <c r="D22" s="95"/>
      <c r="E22"/>
      <c r="F22"/>
      <c r="G22" s="99"/>
      <c r="P22" s="115">
        <v>255</v>
      </c>
      <c r="Q22" s="115">
        <v>142</v>
      </c>
      <c r="R22" s="115">
        <v>216</v>
      </c>
      <c r="S22" s="115">
        <v>255</v>
      </c>
      <c r="T22" s="115">
        <v>255</v>
      </c>
      <c r="U22" s="115">
        <v>255</v>
      </c>
      <c r="V22" s="115">
        <v>255</v>
      </c>
      <c r="W22" s="115">
        <v>255</v>
      </c>
      <c r="X22" s="115">
        <v>255</v>
      </c>
      <c r="Y22" s="115">
        <v>255</v>
      </c>
      <c r="Z22" s="115">
        <v>255</v>
      </c>
      <c r="AA22" s="115">
        <v>255</v>
      </c>
      <c r="AB22" s="115">
        <v>255</v>
      </c>
      <c r="AC22" s="115">
        <v>255</v>
      </c>
      <c r="AD22" s="115">
        <v>255</v>
      </c>
      <c r="AE22" s="115">
        <v>255</v>
      </c>
      <c r="AF22" s="115">
        <v>255</v>
      </c>
      <c r="AG22" s="115">
        <v>255</v>
      </c>
      <c r="AH22" s="115">
        <v>255</v>
      </c>
      <c r="AI22" s="115">
        <v>255</v>
      </c>
      <c r="AJ22" s="115">
        <v>255</v>
      </c>
      <c r="AK22" s="115">
        <v>255</v>
      </c>
      <c r="AL22" s="115">
        <v>255</v>
      </c>
      <c r="AM22" s="115">
        <v>255</v>
      </c>
      <c r="AN22" s="115">
        <v>255</v>
      </c>
      <c r="AO22" s="115">
        <v>255</v>
      </c>
      <c r="AP22" s="115">
        <v>255</v>
      </c>
      <c r="AQ22" s="115">
        <v>255</v>
      </c>
      <c r="AR22" s="115">
        <v>255</v>
      </c>
      <c r="AS22" s="115">
        <v>255</v>
      </c>
      <c r="AT22" s="115">
        <v>255</v>
      </c>
      <c r="AU22" s="115">
        <v>255</v>
      </c>
      <c r="AV22" s="115">
        <v>255</v>
      </c>
      <c r="AW22" s="115">
        <v>255</v>
      </c>
      <c r="AX22" s="115">
        <v>255</v>
      </c>
      <c r="AY22" s="115">
        <v>255</v>
      </c>
      <c r="AZ22" s="115">
        <v>255</v>
      </c>
      <c r="BA22" s="115">
        <v>255</v>
      </c>
      <c r="BB22" s="115">
        <v>255</v>
      </c>
      <c r="BC22" s="115">
        <v>255</v>
      </c>
      <c r="BD22" s="115">
        <v>255</v>
      </c>
      <c r="BE22" s="115">
        <v>255</v>
      </c>
      <c r="BF22" s="115">
        <v>255</v>
      </c>
      <c r="BG22" s="115">
        <v>255</v>
      </c>
      <c r="BH22" s="115">
        <v>255</v>
      </c>
      <c r="BI22" s="115">
        <v>255</v>
      </c>
      <c r="BJ22" s="115">
        <v>255</v>
      </c>
      <c r="BK22" s="115">
        <v>255</v>
      </c>
    </row>
    <row r="23" spans="2:63" ht="20" x14ac:dyDescent="0.25">
      <c r="B23" s="103"/>
      <c r="C23" s="109"/>
      <c r="D23" s="95"/>
      <c r="E23"/>
      <c r="F23"/>
      <c r="G23" s="99"/>
      <c r="M23" s="116"/>
      <c r="P23" s="115">
        <v>255</v>
      </c>
      <c r="Q23" s="115">
        <v>255</v>
      </c>
      <c r="R23" s="115">
        <v>255</v>
      </c>
      <c r="S23" s="115">
        <v>255</v>
      </c>
      <c r="T23" s="115">
        <v>255</v>
      </c>
      <c r="U23" s="115">
        <v>255</v>
      </c>
      <c r="V23" s="115">
        <v>255</v>
      </c>
      <c r="W23" s="115">
        <v>255</v>
      </c>
      <c r="X23" s="115">
        <v>255</v>
      </c>
      <c r="Y23" s="115">
        <v>255</v>
      </c>
      <c r="Z23" s="115">
        <v>255</v>
      </c>
      <c r="AA23" s="115">
        <v>255</v>
      </c>
      <c r="AB23" s="115">
        <v>255</v>
      </c>
      <c r="AC23" s="115">
        <v>255</v>
      </c>
      <c r="AD23" s="115">
        <v>255</v>
      </c>
      <c r="AE23" s="115">
        <v>255</v>
      </c>
      <c r="AF23" s="115">
        <v>255</v>
      </c>
      <c r="AG23" s="115">
        <v>255</v>
      </c>
      <c r="AH23" s="115">
        <v>255</v>
      </c>
      <c r="AI23" s="115">
        <v>255</v>
      </c>
      <c r="AJ23" s="115">
        <v>255</v>
      </c>
      <c r="AK23" s="115">
        <v>255</v>
      </c>
      <c r="AL23" s="115">
        <v>255</v>
      </c>
      <c r="AM23" s="115">
        <v>255</v>
      </c>
      <c r="AN23" s="115">
        <v>255</v>
      </c>
      <c r="AO23" s="115">
        <v>255</v>
      </c>
      <c r="AP23" s="115">
        <v>255</v>
      </c>
      <c r="AQ23" s="115">
        <v>255</v>
      </c>
      <c r="AR23" s="115">
        <v>255</v>
      </c>
      <c r="AS23" s="115">
        <v>255</v>
      </c>
      <c r="AT23" s="115">
        <v>255</v>
      </c>
      <c r="AU23" s="115">
        <v>255</v>
      </c>
      <c r="AV23" s="115">
        <v>255</v>
      </c>
      <c r="AW23" s="115">
        <v>255</v>
      </c>
      <c r="AX23" s="115">
        <v>255</v>
      </c>
      <c r="AY23" s="115">
        <v>255</v>
      </c>
      <c r="AZ23" s="115">
        <v>255</v>
      </c>
      <c r="BA23" s="115">
        <v>255</v>
      </c>
      <c r="BB23" s="115">
        <v>255</v>
      </c>
      <c r="BC23" s="115">
        <v>255</v>
      </c>
      <c r="BD23" s="115">
        <v>255</v>
      </c>
      <c r="BE23" s="115">
        <v>255</v>
      </c>
      <c r="BF23" s="115">
        <v>255</v>
      </c>
      <c r="BG23" s="115">
        <v>255</v>
      </c>
      <c r="BH23" s="115">
        <v>255</v>
      </c>
      <c r="BI23" s="115">
        <v>255</v>
      </c>
      <c r="BJ23" s="115">
        <v>255</v>
      </c>
      <c r="BK23" s="115">
        <v>255</v>
      </c>
    </row>
    <row r="24" spans="2:63" ht="20" x14ac:dyDescent="0.25">
      <c r="B24" s="103"/>
      <c r="C24" s="109"/>
      <c r="D24" s="95"/>
      <c r="E24"/>
      <c r="F24"/>
      <c r="G24" s="99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6"/>
      <c r="AM24" s="116"/>
      <c r="AN24" s="116"/>
      <c r="AO24" s="116"/>
      <c r="AP24" s="116"/>
      <c r="AQ24" s="116"/>
      <c r="AR24" s="116"/>
      <c r="AS24" s="116"/>
      <c r="AT24" s="116"/>
      <c r="AU24" s="116"/>
      <c r="AV24" s="116"/>
      <c r="AW24" s="116"/>
      <c r="AX24" s="116"/>
      <c r="AY24" s="116"/>
      <c r="AZ24" s="116"/>
      <c r="BA24" s="116"/>
      <c r="BB24" s="116"/>
      <c r="BC24" s="116"/>
      <c r="BD24" s="116"/>
      <c r="BE24" s="116"/>
      <c r="BF24" s="116"/>
      <c r="BG24" s="116"/>
      <c r="BH24" s="116"/>
    </row>
    <row r="25" spans="2:63" ht="20" x14ac:dyDescent="0.25">
      <c r="B25" s="103"/>
      <c r="C25" s="109"/>
      <c r="D25" s="95"/>
      <c r="E25"/>
      <c r="F25"/>
      <c r="G25" s="99"/>
    </row>
    <row r="26" spans="2:63" ht="20" x14ac:dyDescent="0.25">
      <c r="B26" s="103"/>
      <c r="C26" s="109"/>
      <c r="D26" s="95"/>
      <c r="E26"/>
      <c r="F26"/>
      <c r="G26" s="99"/>
    </row>
    <row r="27" spans="2:63" ht="20" x14ac:dyDescent="0.25">
      <c r="B27" s="104"/>
      <c r="C27" s="105"/>
      <c r="D27" s="108"/>
      <c r="E27"/>
      <c r="F27"/>
      <c r="G27" s="99"/>
    </row>
    <row r="28" spans="2:63" ht="20" x14ac:dyDescent="0.25">
      <c r="B28" s="100"/>
      <c r="D28" s="95"/>
      <c r="E28"/>
      <c r="F28"/>
      <c r="G28" s="99"/>
    </row>
    <row r="29" spans="2:63" ht="20" x14ac:dyDescent="0.25">
      <c r="B29" s="100"/>
      <c r="D29" s="95"/>
      <c r="E29"/>
      <c r="F29"/>
      <c r="G29" s="99"/>
    </row>
    <row r="30" spans="2:63" ht="20" x14ac:dyDescent="0.25">
      <c r="B30" s="100"/>
      <c r="D30" s="95"/>
      <c r="E30"/>
      <c r="F30"/>
      <c r="G30" s="99"/>
    </row>
    <row r="31" spans="2:63" ht="20" x14ac:dyDescent="0.25">
      <c r="B31" s="100"/>
      <c r="D31" s="99"/>
      <c r="E31" s="99"/>
      <c r="F31" s="95"/>
    </row>
    <row r="32" spans="2:63" ht="20" x14ac:dyDescent="0.2">
      <c r="B32" s="100"/>
    </row>
    <row r="33" spans="2:2" ht="20" x14ac:dyDescent="0.2">
      <c r="B33" s="100"/>
    </row>
    <row r="34" spans="2:2" ht="20" x14ac:dyDescent="0.2">
      <c r="B34" s="100"/>
    </row>
    <row r="35" spans="2:2" ht="20" x14ac:dyDescent="0.2">
      <c r="B35" s="100"/>
    </row>
    <row r="36" spans="2:2" ht="20" x14ac:dyDescent="0.2">
      <c r="B36" s="100"/>
    </row>
    <row r="37" spans="2:2" ht="20" x14ac:dyDescent="0.2">
      <c r="B37" s="100"/>
    </row>
    <row r="38" spans="2:2" ht="20" x14ac:dyDescent="0.2">
      <c r="B38" s="100"/>
    </row>
    <row r="39" spans="2:2" ht="20" x14ac:dyDescent="0.2">
      <c r="B39" s="100"/>
    </row>
  </sheetData>
  <mergeCells count="14">
    <mergeCell ref="G17:H17"/>
    <mergeCell ref="G18:H18"/>
    <mergeCell ref="G19:H19"/>
    <mergeCell ref="G14:H14"/>
    <mergeCell ref="G15:H15"/>
    <mergeCell ref="G16:H16"/>
    <mergeCell ref="G11:H11"/>
    <mergeCell ref="G12:H12"/>
    <mergeCell ref="G13:H13"/>
    <mergeCell ref="B3:C3"/>
    <mergeCell ref="G7:H7"/>
    <mergeCell ref="G8:H8"/>
    <mergeCell ref="G9:H9"/>
    <mergeCell ref="G10:H10"/>
  </mergeCells>
  <conditionalFormatting sqref="B5:D52">
    <cfRule type="notContainsBlanks" dxfId="2" priority="1" stopIfTrue="1">
      <formula>LEN(TRIM(B5))&gt;0</formula>
    </cfRule>
  </conditionalFormatting>
  <conditionalFormatting sqref="G5">
    <cfRule type="notContainsBlanks" dxfId="1" priority="17">
      <formula>LEN(TRIM(G5))&gt;0</formula>
    </cfRule>
  </conditionalFormatting>
  <conditionalFormatting sqref="H5">
    <cfRule type="expression" dxfId="0" priority="14">
      <formula>$G$5=FALSE</formula>
    </cfRule>
  </conditionalFormatting>
  <conditionalFormatting sqref="P5:BK23">
    <cfRule type="colorScale" priority="8">
      <colorScale>
        <cfvo type="min"/>
        <cfvo type="max"/>
        <color rgb="FFF8696B"/>
        <color rgb="FFFCFCFF"/>
      </colorScale>
    </cfRule>
  </conditionalFormatting>
  <pageMargins left="0.25" right="0.25" top="0.75" bottom="0.75" header="0.3" footer="0.3"/>
  <pageSetup scale="24" orientation="portrait" horizontalDpi="0" verticalDpi="0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95C538B-00BF-3743-8E45-233D9EB0D734}">
          <x14:formula1>
            <xm:f>Helper!$B$52:$S$52</xm:f>
          </x14:formula1>
          <xm:sqref>M3</xm:sqref>
        </x14:dataValidation>
        <x14:dataValidation type="list" errorStyle="information" allowBlank="1" showInputMessage="1" showErrorMessage="1" errorTitle="Invalid" error="Operation is not listed" xr:uid="{EE152D46-A9B7-0E46-BD43-C57A020DFA6B}">
          <x14:formula1>
            <xm:f>Helper!$U$27:$U$30</xm:f>
          </x14:formula1>
          <xm:sqref>B5</xm:sqref>
        </x14:dataValidation>
        <x14:dataValidation type="list" errorStyle="information" allowBlank="1" showInputMessage="1" showErrorMessage="1" errorTitle="Invalid" error="Operation is not listed" xr:uid="{0F389E28-3BF9-C146-9178-CDB710927B62}">
          <x14:formula1>
            <xm:f>Helper!$U$31:$U$45</xm:f>
          </x14:formula1>
          <xm:sqref>B6:B39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AAA40-39C2-4A46-8CEB-06841237643B}">
  <sheetPr>
    <tabColor rgb="FF4169E1"/>
  </sheetPr>
  <dimension ref="A1:CM287"/>
  <sheetViews>
    <sheetView showGridLines="0" showRowColHeader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5" sqref="J5"/>
    </sheetView>
  </sheetViews>
  <sheetFormatPr baseColWidth="10" defaultColWidth="3.33203125" defaultRowHeight="20" customHeight="1" x14ac:dyDescent="0.2"/>
  <cols>
    <col min="1" max="1" width="4.1640625" style="118" customWidth="1"/>
    <col min="2" max="16384" width="3.33203125" style="118"/>
  </cols>
  <sheetData>
    <row r="1" spans="1:91" ht="40" customHeight="1" x14ac:dyDescent="0.2">
      <c r="A1" s="159" t="str">
        <f>HYPERLINK("#Architect!A1", "⏎")</f>
        <v>⏎</v>
      </c>
      <c r="C1" s="63" t="s">
        <v>109</v>
      </c>
    </row>
    <row r="2" spans="1:91" ht="25" customHeight="1" thickBot="1" x14ac:dyDescent="0.25">
      <c r="B2" s="193" t="s">
        <v>125</v>
      </c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V2" s="195" t="s">
        <v>127</v>
      </c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Z2" s="196" t="s">
        <v>143</v>
      </c>
      <c r="BA2" s="196"/>
      <c r="BB2" s="196"/>
      <c r="BC2" s="196"/>
      <c r="BD2" s="196"/>
      <c r="BE2" s="196"/>
      <c r="BF2" s="196"/>
      <c r="BG2" s="196"/>
      <c r="BH2" s="196"/>
      <c r="BI2" s="196"/>
      <c r="BJ2" s="196"/>
      <c r="BM2" s="197" t="s">
        <v>144</v>
      </c>
      <c r="BN2" s="197"/>
      <c r="BO2" s="197"/>
      <c r="BP2" s="197"/>
      <c r="BQ2" s="197"/>
      <c r="BR2" s="197"/>
      <c r="BS2" s="197"/>
      <c r="BT2" s="197"/>
      <c r="BU2" s="197"/>
      <c r="BV2" s="197"/>
      <c r="BW2" s="197"/>
      <c r="BX2" s="197"/>
      <c r="BY2" s="197"/>
      <c r="BZ2" s="197"/>
      <c r="CA2" s="197"/>
      <c r="CB2" s="197"/>
      <c r="CC2" s="197"/>
      <c r="CD2" s="197"/>
      <c r="CE2" s="197"/>
      <c r="CF2" s="197"/>
      <c r="CG2" s="197"/>
      <c r="CH2" s="197"/>
      <c r="CI2" s="197"/>
      <c r="CJ2" s="197"/>
      <c r="CK2" s="197"/>
      <c r="CL2" s="197"/>
      <c r="CM2" s="197"/>
    </row>
    <row r="3" spans="1:91" ht="20" customHeight="1" thickTop="1" x14ac:dyDescent="0.2"/>
    <row r="4" spans="1:91" ht="20" customHeight="1" x14ac:dyDescent="0.2">
      <c r="P4" s="117" t="s">
        <v>110</v>
      </c>
    </row>
    <row r="5" spans="1:91" ht="20" customHeight="1" x14ac:dyDescent="0.2">
      <c r="P5" s="119">
        <v>-0.44880335917696357</v>
      </c>
      <c r="Q5" s="119">
        <v>6.0701910406351089E-2</v>
      </c>
      <c r="R5" s="119">
        <v>0.31955507723614573</v>
      </c>
    </row>
    <row r="6" spans="1:91" ht="20" customHeight="1" x14ac:dyDescent="0.2">
      <c r="P6" s="120">
        <v>-0.11292755883187056</v>
      </c>
      <c r="Q6" s="120">
        <v>-0.27272867364808917</v>
      </c>
      <c r="R6" s="120">
        <v>0.77663186006247997</v>
      </c>
    </row>
    <row r="7" spans="1:91" ht="20" customHeight="1" x14ac:dyDescent="0.2">
      <c r="P7" s="120">
        <v>-0.38099355483427644</v>
      </c>
      <c r="Q7" s="120">
        <v>-0.82472457829862833</v>
      </c>
      <c r="R7" s="120">
        <v>-0.20655657863244414</v>
      </c>
    </row>
    <row r="8" spans="1:91" ht="20" customHeight="1" x14ac:dyDescent="0.2">
      <c r="P8" s="120">
        <v>-0.11691222339868546</v>
      </c>
      <c r="Q8" s="120">
        <v>-0.84651675121858716</v>
      </c>
      <c r="R8" s="120">
        <v>0.17681382689625025</v>
      </c>
    </row>
    <row r="9" spans="1:91" ht="20" customHeight="1" x14ac:dyDescent="0.2">
      <c r="P9" s="120">
        <v>-0.49264957336708903</v>
      </c>
      <c r="Q9" s="120">
        <v>0.9410270918160677</v>
      </c>
      <c r="R9" s="120">
        <v>-0.40785891423001885</v>
      </c>
    </row>
    <row r="10" spans="1:91" ht="20" customHeight="1" x14ac:dyDescent="0.2">
      <c r="P10" s="120">
        <v>-0.88707277644425631</v>
      </c>
      <c r="Q10" s="120">
        <v>-0.34107493003830314</v>
      </c>
      <c r="R10" s="120">
        <v>0.72421393916010857</v>
      </c>
    </row>
    <row r="11" spans="1:91" ht="20" customHeight="1" x14ac:dyDescent="0.2">
      <c r="P11" s="121">
        <v>0.67921642540022731</v>
      </c>
      <c r="Q11" s="121">
        <v>-0.80737474095076323</v>
      </c>
      <c r="R11" s="121">
        <v>-0.9685451234690845</v>
      </c>
    </row>
    <row r="12" spans="1:91" ht="20" customHeight="1" x14ac:dyDescent="0.2">
      <c r="P12" s="118">
        <v>1</v>
      </c>
      <c r="Q12" s="118">
        <v>1</v>
      </c>
      <c r="R12" s="118">
        <v>1</v>
      </c>
    </row>
    <row r="13" spans="1:91" ht="20" customHeight="1" x14ac:dyDescent="0.2">
      <c r="BO13" s="203"/>
      <c r="BP13" s="203"/>
      <c r="BQ13" s="204" t="s">
        <v>145</v>
      </c>
      <c r="BR13" s="205" t="s">
        <v>146</v>
      </c>
      <c r="BS13" s="205"/>
      <c r="BT13" s="205"/>
      <c r="BU13" s="205"/>
      <c r="BV13" s="205"/>
      <c r="BW13" s="205"/>
      <c r="BX13" s="205"/>
      <c r="BY13" s="205"/>
      <c r="BZ13" s="205"/>
      <c r="CA13" s="205"/>
      <c r="CB13" s="205"/>
      <c r="CC13" s="205"/>
      <c r="CD13" s="205"/>
      <c r="CE13" s="205"/>
      <c r="CF13" s="205"/>
      <c r="CG13" s="205"/>
      <c r="CH13" s="205"/>
      <c r="CI13" s="205"/>
      <c r="CJ13" s="205"/>
      <c r="CK13" s="205"/>
      <c r="CL13" s="205"/>
      <c r="CM13" s="205"/>
    </row>
    <row r="14" spans="1:91" ht="20" customHeight="1" x14ac:dyDescent="0.2">
      <c r="P14" s="117" t="s">
        <v>194</v>
      </c>
      <c r="BO14" s="203"/>
      <c r="BP14" s="203"/>
      <c r="BQ14" s="204" t="s">
        <v>145</v>
      </c>
      <c r="BR14" s="205" t="s">
        <v>147</v>
      </c>
      <c r="BS14" s="205"/>
      <c r="BT14" s="205"/>
      <c r="BU14" s="205"/>
      <c r="BV14" s="205"/>
      <c r="BW14" s="205"/>
      <c r="BX14" s="205"/>
      <c r="BY14" s="205"/>
      <c r="BZ14" s="205"/>
      <c r="CA14" s="205"/>
      <c r="CB14" s="205"/>
      <c r="CC14" s="205"/>
      <c r="CD14" s="205"/>
      <c r="CE14" s="205"/>
      <c r="CF14" s="205"/>
      <c r="CG14" s="205"/>
      <c r="CH14" s="205"/>
      <c r="CI14" s="205"/>
      <c r="CJ14" s="205"/>
      <c r="CK14" s="205"/>
      <c r="CL14" s="205"/>
      <c r="CM14" s="205"/>
    </row>
    <row r="15" spans="1:91" ht="20" customHeight="1" x14ac:dyDescent="0.2">
      <c r="O15" s="122" t="s">
        <v>111</v>
      </c>
      <c r="P15" s="123">
        <v>5</v>
      </c>
      <c r="Q15" s="123">
        <v>8</v>
      </c>
      <c r="R15" s="123">
        <v>8</v>
      </c>
      <c r="BO15" s="203"/>
      <c r="BP15" s="203"/>
      <c r="BQ15" s="204" t="s">
        <v>145</v>
      </c>
      <c r="BR15" s="205"/>
      <c r="BS15" s="205"/>
      <c r="BT15" s="205"/>
      <c r="BU15" s="205"/>
      <c r="BV15" s="205"/>
      <c r="BW15" s="205"/>
      <c r="BX15" s="205"/>
      <c r="BY15" s="205"/>
      <c r="BZ15" s="205"/>
      <c r="CA15" s="205"/>
      <c r="CB15" s="205"/>
      <c r="CC15" s="205"/>
      <c r="CD15" s="205"/>
      <c r="CE15" s="205"/>
      <c r="CF15" s="205"/>
      <c r="CG15" s="205"/>
      <c r="CH15" s="205"/>
      <c r="CI15" s="205"/>
      <c r="CJ15" s="205"/>
      <c r="CK15" s="205"/>
      <c r="CL15" s="205"/>
      <c r="CM15" s="205"/>
    </row>
    <row r="16" spans="1:91" ht="20" customHeight="1" x14ac:dyDescent="0.2">
      <c r="P16" s="119" cm="1">
        <f t="array" ref="P16:P25">TRANSPOSE(--(_xlfn.SEQUENCE(1, 10) = 1+P15))</f>
        <v>0</v>
      </c>
      <c r="Q16" s="119" cm="1">
        <f t="array" ref="Q16:Q25">TRANSPOSE(--(_xlfn.SEQUENCE(1, 10) = 1+Q15))</f>
        <v>0</v>
      </c>
      <c r="R16" s="119" cm="1">
        <f t="array" ref="R16:R25">TRANSPOSE(--(_xlfn.SEQUENCE(1, 10) = 1+R15))</f>
        <v>0</v>
      </c>
      <c r="BO16" s="203" t="str">
        <f t="shared" ref="BO16:BP16" si="0">HYPERLINK("#Blueprint!X","view")</f>
        <v>view</v>
      </c>
      <c r="BP16" s="203"/>
      <c r="BQ16" s="204" t="s">
        <v>145</v>
      </c>
      <c r="BR16" s="205" t="s">
        <v>303</v>
      </c>
      <c r="BS16" s="205"/>
      <c r="BT16" s="205"/>
      <c r="BU16" s="205"/>
      <c r="BV16" s="205"/>
      <c r="BW16" s="205"/>
      <c r="BX16" s="205"/>
      <c r="BY16" s="205"/>
      <c r="BZ16" s="205"/>
      <c r="CA16" s="205"/>
      <c r="CB16" s="205"/>
      <c r="CC16" s="205"/>
      <c r="CD16" s="205"/>
      <c r="CE16" s="205"/>
      <c r="CF16" s="205"/>
      <c r="CG16" s="205"/>
      <c r="CH16" s="205"/>
      <c r="CI16" s="205"/>
      <c r="CJ16" s="205"/>
      <c r="CK16" s="205"/>
      <c r="CL16" s="205"/>
      <c r="CM16" s="205"/>
    </row>
    <row r="17" spans="1:91" ht="20" customHeight="1" x14ac:dyDescent="0.2">
      <c r="P17" s="120">
        <v>0</v>
      </c>
      <c r="Q17" s="120">
        <v>0</v>
      </c>
      <c r="R17" s="120">
        <v>0</v>
      </c>
      <c r="BO17" s="203" t="str">
        <f t="shared" ref="BO17:BP17" si="1">HYPERLINK("#Blueprint!ohe","view")</f>
        <v>view</v>
      </c>
      <c r="BP17" s="203"/>
      <c r="BQ17" s="204" t="s">
        <v>145</v>
      </c>
      <c r="BR17" s="205" t="s">
        <v>304</v>
      </c>
      <c r="BS17" s="205"/>
      <c r="BT17" s="205"/>
      <c r="BU17" s="205"/>
      <c r="BV17" s="205"/>
      <c r="BW17" s="205"/>
      <c r="BX17" s="205"/>
      <c r="BY17" s="205"/>
      <c r="BZ17" s="205"/>
      <c r="CA17" s="205"/>
      <c r="CB17" s="205"/>
      <c r="CC17" s="205"/>
      <c r="CD17" s="205"/>
      <c r="CE17" s="205"/>
      <c r="CF17" s="205"/>
      <c r="CG17" s="205"/>
      <c r="CH17" s="205"/>
      <c r="CI17" s="205"/>
      <c r="CJ17" s="205"/>
      <c r="CK17" s="205"/>
      <c r="CL17" s="205"/>
      <c r="CM17" s="205"/>
    </row>
    <row r="18" spans="1:91" ht="20" customHeight="1" x14ac:dyDescent="0.2">
      <c r="P18" s="120">
        <v>0</v>
      </c>
      <c r="Q18" s="120">
        <v>0</v>
      </c>
      <c r="R18" s="120">
        <v>0</v>
      </c>
      <c r="BO18" s="203"/>
      <c r="BP18" s="203"/>
      <c r="BQ18" s="204" t="s">
        <v>145</v>
      </c>
      <c r="BR18" s="205"/>
      <c r="BS18" s="205"/>
      <c r="BT18" s="205"/>
      <c r="BU18" s="205"/>
      <c r="BV18" s="205"/>
      <c r="BW18" s="205"/>
      <c r="BX18" s="205"/>
      <c r="BY18" s="205"/>
      <c r="BZ18" s="205"/>
      <c r="CA18" s="205"/>
      <c r="CB18" s="205"/>
      <c r="CC18" s="205"/>
      <c r="CD18" s="205"/>
      <c r="CE18" s="205"/>
      <c r="CF18" s="205"/>
      <c r="CG18" s="205"/>
      <c r="CH18" s="205"/>
      <c r="CI18" s="205"/>
      <c r="CJ18" s="205"/>
      <c r="CK18" s="205"/>
      <c r="CL18" s="205"/>
      <c r="CM18" s="205"/>
    </row>
    <row r="19" spans="1:91" ht="20" customHeight="1" x14ac:dyDescent="0.2">
      <c r="P19" s="120">
        <v>0</v>
      </c>
      <c r="Q19" s="120">
        <v>0</v>
      </c>
      <c r="R19" s="120">
        <v>0</v>
      </c>
      <c r="BO19" s="203"/>
      <c r="BP19" s="203"/>
      <c r="BQ19" s="204" t="s">
        <v>145</v>
      </c>
      <c r="BR19" s="205" t="s">
        <v>75</v>
      </c>
      <c r="BS19" s="205"/>
      <c r="BT19" s="205"/>
      <c r="BU19" s="205"/>
      <c r="BV19" s="205"/>
      <c r="BW19" s="205"/>
      <c r="BX19" s="205"/>
      <c r="BY19" s="205"/>
      <c r="BZ19" s="205"/>
      <c r="CA19" s="205"/>
      <c r="CB19" s="205"/>
      <c r="CC19" s="205"/>
      <c r="CD19" s="205"/>
      <c r="CE19" s="205"/>
      <c r="CF19" s="205"/>
      <c r="CG19" s="205"/>
      <c r="CH19" s="205"/>
      <c r="CI19" s="205"/>
      <c r="CJ19" s="205"/>
      <c r="CK19" s="205"/>
      <c r="CL19" s="205"/>
      <c r="CM19" s="205"/>
    </row>
    <row r="20" spans="1:91" ht="20" customHeight="1" x14ac:dyDescent="0.2">
      <c r="P20" s="120">
        <v>0</v>
      </c>
      <c r="Q20" s="120">
        <v>0</v>
      </c>
      <c r="R20" s="120">
        <v>0</v>
      </c>
      <c r="BO20" s="203" t="str">
        <f t="shared" ref="BO20:BP20" si="2">HYPERLINK("#Blueprint!X_0","view")</f>
        <v>view</v>
      </c>
      <c r="BP20" s="203"/>
      <c r="BQ20" s="204" t="s">
        <v>145</v>
      </c>
      <c r="BR20" s="205" t="s">
        <v>305</v>
      </c>
      <c r="BS20" s="205"/>
      <c r="BT20" s="205"/>
      <c r="BU20" s="205"/>
      <c r="BV20" s="205"/>
      <c r="BW20" s="205"/>
      <c r="BX20" s="205"/>
      <c r="BY20" s="205"/>
      <c r="BZ20" s="205"/>
      <c r="CA20" s="205"/>
      <c r="CB20" s="205"/>
      <c r="CC20" s="205"/>
      <c r="CD20" s="205"/>
      <c r="CE20" s="205"/>
      <c r="CF20" s="205"/>
      <c r="CG20" s="205"/>
      <c r="CH20" s="205"/>
      <c r="CI20" s="205"/>
      <c r="CJ20" s="205"/>
      <c r="CK20" s="205"/>
      <c r="CL20" s="205"/>
      <c r="CM20" s="205"/>
    </row>
    <row r="21" spans="1:91" ht="20" customHeight="1" x14ac:dyDescent="0.2">
      <c r="P21" s="120">
        <v>1</v>
      </c>
      <c r="Q21" s="120">
        <v>0</v>
      </c>
      <c r="R21" s="120">
        <v>0</v>
      </c>
      <c r="BO21" s="203" t="str">
        <f t="shared" ref="BO21:BP21" si="3">HYPERLINK("#Blueprint!X_1","view")</f>
        <v>view</v>
      </c>
      <c r="BP21" s="203"/>
      <c r="BQ21" s="204" t="s">
        <v>145</v>
      </c>
      <c r="BR21" s="205" t="s">
        <v>218</v>
      </c>
      <c r="BS21" s="205"/>
      <c r="BT21" s="205"/>
      <c r="BU21" s="205"/>
      <c r="BV21" s="205"/>
      <c r="BW21" s="205"/>
      <c r="BX21" s="205"/>
      <c r="BY21" s="205"/>
      <c r="BZ21" s="205"/>
      <c r="CA21" s="205"/>
      <c r="CB21" s="205"/>
      <c r="CC21" s="205"/>
      <c r="CD21" s="205"/>
      <c r="CE21" s="205"/>
      <c r="CF21" s="205"/>
      <c r="CG21" s="205"/>
      <c r="CH21" s="205"/>
      <c r="CI21" s="205"/>
      <c r="CJ21" s="205"/>
      <c r="CK21" s="205"/>
      <c r="CL21" s="205"/>
      <c r="CM21" s="205"/>
    </row>
    <row r="22" spans="1:91" ht="20" customHeight="1" x14ac:dyDescent="0.2">
      <c r="P22" s="120">
        <v>0</v>
      </c>
      <c r="Q22" s="120">
        <v>0</v>
      </c>
      <c r="R22" s="120">
        <v>0</v>
      </c>
      <c r="BO22" s="203" t="str">
        <f t="shared" ref="BO22:BP22" si="4">HYPERLINK("#Blueprint!X_2","view")</f>
        <v>view</v>
      </c>
      <c r="BP22" s="203"/>
      <c r="BQ22" s="204" t="s">
        <v>145</v>
      </c>
      <c r="BR22" s="205" t="s">
        <v>148</v>
      </c>
      <c r="BS22" s="205"/>
      <c r="BT22" s="205"/>
      <c r="BU22" s="205"/>
      <c r="BV22" s="205"/>
      <c r="BW22" s="205"/>
      <c r="BX22" s="205"/>
      <c r="BY22" s="205"/>
      <c r="BZ22" s="205"/>
      <c r="CA22" s="205"/>
      <c r="CB22" s="205"/>
      <c r="CC22" s="205"/>
      <c r="CD22" s="205"/>
      <c r="CE22" s="205"/>
      <c r="CF22" s="205"/>
      <c r="CG22" s="205"/>
      <c r="CH22" s="205"/>
      <c r="CI22" s="205"/>
      <c r="CJ22" s="205"/>
      <c r="CK22" s="205"/>
      <c r="CL22" s="205"/>
      <c r="CM22" s="205"/>
    </row>
    <row r="23" spans="1:91" ht="20" customHeight="1" x14ac:dyDescent="0.2">
      <c r="P23" s="120">
        <v>0</v>
      </c>
      <c r="Q23" s="120">
        <v>0</v>
      </c>
      <c r="R23" s="120">
        <v>0</v>
      </c>
      <c r="BO23" s="203" t="str">
        <f t="shared" ref="BO23:BP23" si="5">HYPERLINK("#Blueprint!X_3","view")</f>
        <v>view</v>
      </c>
      <c r="BP23" s="203"/>
      <c r="BQ23" s="204" t="s">
        <v>145</v>
      </c>
      <c r="BR23" s="205" t="s">
        <v>306</v>
      </c>
      <c r="BS23" s="205"/>
      <c r="BT23" s="205"/>
      <c r="BU23" s="205"/>
      <c r="BV23" s="205"/>
      <c r="BW23" s="205"/>
      <c r="BX23" s="205"/>
      <c r="BY23" s="205"/>
      <c r="BZ23" s="205"/>
      <c r="CA23" s="205"/>
      <c r="CB23" s="205"/>
      <c r="CC23" s="205"/>
      <c r="CD23" s="205"/>
      <c r="CE23" s="205"/>
      <c r="CF23" s="205"/>
      <c r="CG23" s="205"/>
      <c r="CH23" s="205"/>
      <c r="CI23" s="205"/>
      <c r="CJ23" s="205"/>
      <c r="CK23" s="205"/>
      <c r="CL23" s="205"/>
      <c r="CM23" s="205"/>
    </row>
    <row r="24" spans="1:91" ht="20" customHeight="1" x14ac:dyDescent="0.2">
      <c r="P24" s="120">
        <v>0</v>
      </c>
      <c r="Q24" s="120">
        <v>1</v>
      </c>
      <c r="R24" s="120">
        <v>1</v>
      </c>
      <c r="BO24" s="203" t="str">
        <f t="shared" ref="BO24:BP24" si="6">HYPERLINK("#Blueprint!X_4","view")</f>
        <v>view</v>
      </c>
      <c r="BP24" s="203"/>
      <c r="BQ24" s="204" t="s">
        <v>145</v>
      </c>
      <c r="BR24" s="205" t="s">
        <v>148</v>
      </c>
      <c r="BS24" s="205"/>
      <c r="BT24" s="205"/>
      <c r="BU24" s="205"/>
      <c r="BV24" s="205"/>
      <c r="BW24" s="205"/>
      <c r="BX24" s="205"/>
      <c r="BY24" s="205"/>
      <c r="BZ24" s="205"/>
      <c r="CA24" s="205"/>
      <c r="CB24" s="205"/>
      <c r="CC24" s="205"/>
      <c r="CD24" s="205"/>
      <c r="CE24" s="205"/>
      <c r="CF24" s="205"/>
      <c r="CG24" s="205"/>
      <c r="CH24" s="205"/>
      <c r="CI24" s="205"/>
      <c r="CJ24" s="205"/>
      <c r="CK24" s="205"/>
      <c r="CL24" s="205"/>
      <c r="CM24" s="205"/>
    </row>
    <row r="25" spans="1:91" ht="20" customHeight="1" x14ac:dyDescent="0.2">
      <c r="P25" s="121">
        <v>0</v>
      </c>
      <c r="Q25" s="121">
        <v>0</v>
      </c>
      <c r="R25" s="121">
        <v>0</v>
      </c>
      <c r="AZ25" s="124" t="s">
        <v>126</v>
      </c>
      <c r="BA25" s="194">
        <v>0.1</v>
      </c>
      <c r="BB25" s="194"/>
      <c r="BC25" s="194"/>
      <c r="BO25" s="203" t="str">
        <f t="shared" ref="BO25:BP25" si="7">HYPERLINK("#Blueprint!X_5","view")</f>
        <v>view</v>
      </c>
      <c r="BP25" s="203"/>
      <c r="BQ25" s="204" t="s">
        <v>145</v>
      </c>
      <c r="BR25" s="205" t="s">
        <v>216</v>
      </c>
      <c r="BS25" s="205"/>
      <c r="BT25" s="205"/>
      <c r="BU25" s="205"/>
      <c r="BV25" s="205"/>
      <c r="BW25" s="205"/>
      <c r="BX25" s="205"/>
      <c r="BY25" s="205"/>
      <c r="BZ25" s="205"/>
      <c r="CA25" s="205"/>
      <c r="CB25" s="205"/>
      <c r="CC25" s="205"/>
      <c r="CD25" s="205"/>
      <c r="CE25" s="205"/>
      <c r="CF25" s="205"/>
      <c r="CG25" s="205"/>
      <c r="CH25" s="205"/>
      <c r="CI25" s="205"/>
      <c r="CJ25" s="205"/>
      <c r="CK25" s="205"/>
      <c r="CL25" s="205"/>
      <c r="CM25" s="205"/>
    </row>
    <row r="26" spans="1:91" ht="20" customHeight="1" x14ac:dyDescent="0.2">
      <c r="BO26" s="203" t="str">
        <f t="shared" ref="BO26:BP26" si="8">HYPERLINK("#Blueprint!X_6","view")</f>
        <v>view</v>
      </c>
      <c r="BP26" s="203"/>
      <c r="BQ26" s="204" t="s">
        <v>145</v>
      </c>
      <c r="BR26" s="205" t="s">
        <v>148</v>
      </c>
      <c r="BS26" s="205"/>
      <c r="BT26" s="205"/>
      <c r="BU26" s="205"/>
      <c r="BV26" s="205"/>
      <c r="BW26" s="205"/>
      <c r="BX26" s="205"/>
      <c r="BY26" s="205"/>
      <c r="BZ26" s="205"/>
      <c r="CA26" s="205"/>
      <c r="CB26" s="205"/>
      <c r="CC26" s="205"/>
      <c r="CD26" s="205"/>
      <c r="CE26" s="205"/>
      <c r="CF26" s="205"/>
      <c r="CG26" s="205"/>
      <c r="CH26" s="205"/>
      <c r="CI26" s="205"/>
      <c r="CJ26" s="205"/>
      <c r="CK26" s="205"/>
      <c r="CL26" s="205"/>
      <c r="CM26" s="205"/>
    </row>
    <row r="27" spans="1:91" ht="20" customHeight="1" x14ac:dyDescent="0.2">
      <c r="A27" s="198" t="s">
        <v>116</v>
      </c>
      <c r="B27" s="130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1" t="s">
        <v>114</v>
      </c>
      <c r="Q27" s="130"/>
      <c r="R27" s="130"/>
      <c r="S27" s="130"/>
      <c r="T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  <c r="AG27" s="130"/>
      <c r="AH27" s="130"/>
      <c r="AI27" s="131" t="s">
        <v>138</v>
      </c>
      <c r="AJ27" s="130"/>
      <c r="AK27" s="130"/>
      <c r="AL27" s="130"/>
      <c r="AM27" s="130"/>
      <c r="AN27" s="130"/>
      <c r="AO27" s="130"/>
      <c r="AP27" s="130"/>
      <c r="AQ27" s="130"/>
      <c r="AR27" s="130"/>
      <c r="AS27" s="130"/>
      <c r="AT27" s="131" t="s">
        <v>139</v>
      </c>
      <c r="AU27" s="130"/>
      <c r="AV27" s="130"/>
      <c r="AW27" s="130"/>
      <c r="AX27" s="130"/>
      <c r="AZ27" s="117" t="s">
        <v>141</v>
      </c>
      <c r="BO27" s="203" t="str">
        <f t="shared" ref="BO27:BP27" si="9">HYPERLINK("#Blueprint!X_7","view")</f>
        <v>view</v>
      </c>
      <c r="BP27" s="203"/>
      <c r="BQ27" s="204" t="s">
        <v>145</v>
      </c>
      <c r="BR27" s="205" t="s">
        <v>217</v>
      </c>
      <c r="BS27" s="205"/>
      <c r="BT27" s="205"/>
      <c r="BU27" s="205"/>
      <c r="BV27" s="205"/>
      <c r="BW27" s="205"/>
      <c r="BX27" s="205"/>
      <c r="BY27" s="205"/>
      <c r="BZ27" s="205"/>
      <c r="CA27" s="205"/>
      <c r="CB27" s="205"/>
      <c r="CC27" s="205"/>
      <c r="CD27" s="205"/>
      <c r="CE27" s="205"/>
      <c r="CF27" s="205"/>
      <c r="CG27" s="205"/>
      <c r="CH27" s="205"/>
      <c r="CI27" s="205"/>
      <c r="CJ27" s="205"/>
      <c r="CK27" s="205"/>
      <c r="CL27" s="205"/>
      <c r="CM27" s="205"/>
    </row>
    <row r="28" spans="1:91" ht="20" customHeight="1" x14ac:dyDescent="0.2">
      <c r="A28" s="198"/>
      <c r="B28" s="130"/>
      <c r="C28" s="130"/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2" t="s">
        <v>112</v>
      </c>
      <c r="O28" s="130"/>
      <c r="P28" s="133" t="s">
        <v>115</v>
      </c>
      <c r="Q28" s="130"/>
      <c r="R28" s="130"/>
      <c r="S28" s="130"/>
      <c r="T28" s="130"/>
      <c r="V28" s="130"/>
      <c r="W28" s="130"/>
      <c r="X28" s="130"/>
      <c r="Y28" s="130"/>
      <c r="Z28" s="130"/>
      <c r="AA28" s="130"/>
      <c r="AB28" s="130"/>
      <c r="AC28" s="130"/>
      <c r="AD28" s="130"/>
      <c r="AE28" s="130"/>
      <c r="AF28" s="130"/>
      <c r="AG28" s="162" t="s">
        <v>302</v>
      </c>
      <c r="AH28" s="130"/>
      <c r="AI28" s="133" t="s">
        <v>215</v>
      </c>
      <c r="AJ28" s="130"/>
      <c r="AK28" s="130"/>
      <c r="AL28" s="130"/>
      <c r="AM28" s="130"/>
      <c r="AN28" s="130"/>
      <c r="AO28" s="130"/>
      <c r="AP28" s="130"/>
      <c r="AQ28" s="130"/>
      <c r="AR28" s="130"/>
      <c r="AS28" s="130"/>
      <c r="AT28" s="162" t="s">
        <v>140</v>
      </c>
      <c r="AU28" s="130"/>
      <c r="AV28" s="130"/>
      <c r="AW28" s="130"/>
      <c r="AX28" s="130"/>
      <c r="AZ28" s="129" t="s">
        <v>142</v>
      </c>
      <c r="BO28" s="203" t="str">
        <f t="shared" ref="BO28:BP28" si="10">HYPERLINK("#Blueprint!X_8","view")</f>
        <v>view</v>
      </c>
      <c r="BP28" s="203"/>
      <c r="BQ28" s="204" t="s">
        <v>145</v>
      </c>
      <c r="BR28" s="205" t="s">
        <v>218</v>
      </c>
      <c r="BS28" s="205"/>
      <c r="BT28" s="205"/>
      <c r="BU28" s="205"/>
      <c r="BV28" s="205"/>
      <c r="BW28" s="205"/>
      <c r="BX28" s="205"/>
      <c r="BY28" s="205"/>
      <c r="BZ28" s="205"/>
      <c r="CA28" s="205"/>
      <c r="CB28" s="205"/>
      <c r="CC28" s="205"/>
      <c r="CD28" s="205"/>
      <c r="CE28" s="205"/>
      <c r="CF28" s="205"/>
      <c r="CG28" s="205"/>
      <c r="CH28" s="205"/>
      <c r="CI28" s="205"/>
      <c r="CJ28" s="205"/>
      <c r="CK28" s="205"/>
      <c r="CL28" s="205"/>
      <c r="CM28" s="205"/>
    </row>
    <row r="29" spans="1:91" ht="20" customHeight="1" x14ac:dyDescent="0.2">
      <c r="A29" s="198"/>
      <c r="B29" s="130"/>
      <c r="C29" s="130"/>
      <c r="D29" s="130"/>
      <c r="E29" s="130"/>
      <c r="F29" s="130"/>
      <c r="G29" s="134">
        <v>-0.49530965043231845</v>
      </c>
      <c r="H29" s="135">
        <v>-0.82374990917742252</v>
      </c>
      <c r="I29" s="135">
        <v>0.15456239646300673</v>
      </c>
      <c r="J29" s="135">
        <v>-0.55489146802574396</v>
      </c>
      <c r="K29" s="135">
        <v>-0.24867960577830672</v>
      </c>
      <c r="L29" s="135">
        <v>-0.94867219030857086</v>
      </c>
      <c r="M29" s="135">
        <v>-0.10543742822483182</v>
      </c>
      <c r="N29" s="136">
        <v>-0.7630799924954772</v>
      </c>
      <c r="O29" s="137" t="s">
        <v>113</v>
      </c>
      <c r="P29" s="138" cm="1">
        <f t="array" ref="P29:R32">MMULT(Blueprint!G29:N32,Blueprint!P5:R12)</f>
        <v>0.45066536956439429</v>
      </c>
      <c r="Q29" s="138">
        <v>-5.1550927804650093E-2</v>
      </c>
      <c r="R29" s="138">
        <v>-2.1746420170311325</v>
      </c>
      <c r="S29" s="130"/>
      <c r="T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8" cm="1">
        <f t="array" ref="AE29:AG32">0.5*erf_1 + 0.399*X_1* EXP(-0.5*X_1^2)</f>
        <v>0.78959833449429084</v>
      </c>
      <c r="AF29" s="138">
        <v>0.46958469000572567</v>
      </c>
      <c r="AG29" s="138">
        <v>1.968759711136657E-3</v>
      </c>
      <c r="AH29" s="137" t="s">
        <v>113</v>
      </c>
      <c r="AI29" s="138" cm="1">
        <f t="array" ref="AI29:AK32">G_1* MaskGELU_1</f>
        <v>0.1233872276439755</v>
      </c>
      <c r="AJ29" s="138">
        <v>5.0063558455003106E-2</v>
      </c>
      <c r="AK29" s="138">
        <v>4.0850085524921239E-4</v>
      </c>
      <c r="AL29" s="137" t="s">
        <v>113</v>
      </c>
      <c r="AM29" s="134" cm="1">
        <f t="array" ref="AM29:AT32">MMULT(G_0, TRANSPOSE(X))</f>
        <v>-5.2207110083839992E-2</v>
      </c>
      <c r="AN29" s="135">
        <v>-2.7270331525353717E-2</v>
      </c>
      <c r="AO29" s="135">
        <v>-8.8382764155184201E-2</v>
      </c>
      <c r="AP29" s="135">
        <v>-5.6732887381120971E-2</v>
      </c>
      <c r="AQ29" s="135">
        <v>-1.3842110954161125E-2</v>
      </c>
      <c r="AR29" s="135">
        <v>-0.12623303328787921</v>
      </c>
      <c r="AS29" s="135">
        <v>4.2990927650419043E-2</v>
      </c>
      <c r="AT29" s="136">
        <v>0.17385928695422781</v>
      </c>
      <c r="AU29" s="130"/>
      <c r="AV29" s="130"/>
      <c r="AW29" s="130"/>
      <c r="AX29" s="130"/>
      <c r="AY29" s="128" t="s">
        <v>113</v>
      </c>
      <c r="AZ29" s="125" cm="1">
        <f t="array" ref="AZ29:BG32">W_0 - lrate * dW_0</f>
        <v>-0.49008893942393444</v>
      </c>
      <c r="BA29" s="126">
        <v>-0.8210228760248871</v>
      </c>
      <c r="BB29" s="126">
        <v>0.16340067287852517</v>
      </c>
      <c r="BC29" s="126">
        <v>-0.54921817928763184</v>
      </c>
      <c r="BD29" s="126">
        <v>-0.24729539468289061</v>
      </c>
      <c r="BE29" s="126">
        <v>-0.93604888697978295</v>
      </c>
      <c r="BF29" s="126">
        <v>-0.10973652098987373</v>
      </c>
      <c r="BG29" s="127">
        <v>-0.78046592119089997</v>
      </c>
      <c r="BO29" s="203" t="str">
        <f t="shared" ref="BO29:BP29" si="11">HYPERLINK("#Blueprint!X_9","view")</f>
        <v>view</v>
      </c>
      <c r="BP29" s="203"/>
      <c r="BQ29" s="204" t="s">
        <v>145</v>
      </c>
      <c r="BR29" s="205" t="s">
        <v>307</v>
      </c>
      <c r="BS29" s="205"/>
      <c r="BT29" s="205"/>
      <c r="BU29" s="205"/>
      <c r="BV29" s="205"/>
      <c r="BW29" s="205"/>
      <c r="BX29" s="205"/>
      <c r="BY29" s="205"/>
      <c r="BZ29" s="205"/>
      <c r="CA29" s="205"/>
      <c r="CB29" s="205"/>
      <c r="CC29" s="205"/>
      <c r="CD29" s="205"/>
      <c r="CE29" s="205"/>
      <c r="CF29" s="205"/>
      <c r="CG29" s="205"/>
      <c r="CH29" s="205"/>
      <c r="CI29" s="205"/>
      <c r="CJ29" s="205"/>
      <c r="CK29" s="205"/>
      <c r="CL29" s="205"/>
      <c r="CM29" s="205"/>
    </row>
    <row r="30" spans="1:91" ht="20" customHeight="1" x14ac:dyDescent="0.2">
      <c r="A30" s="198"/>
      <c r="B30" s="130"/>
      <c r="C30" s="130"/>
      <c r="D30" s="130"/>
      <c r="E30" s="130"/>
      <c r="F30" s="130"/>
      <c r="G30" s="134">
        <v>0.74762741150334477</v>
      </c>
      <c r="H30" s="135">
        <v>0.98926855064928532</v>
      </c>
      <c r="I30" s="135">
        <v>0.70640544733032584</v>
      </c>
      <c r="J30" s="135">
        <v>-6.4654368907213211E-4</v>
      </c>
      <c r="K30" s="135">
        <v>0.28400189289823174</v>
      </c>
      <c r="L30" s="135">
        <v>0.72291237488389015</v>
      </c>
      <c r="M30" s="135">
        <v>0.19293955294415355</v>
      </c>
      <c r="N30" s="136">
        <v>-0.81849968712776899</v>
      </c>
      <c r="O30" s="137" t="s">
        <v>113</v>
      </c>
      <c r="P30" s="139">
        <v>-2.1849549823665564</v>
      </c>
      <c r="Q30" s="139">
        <v>-1.7600501331923777</v>
      </c>
      <c r="R30" s="139">
        <v>0.26351876437645938</v>
      </c>
      <c r="S30" s="130"/>
      <c r="T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9">
        <v>1.8583015264463064E-3</v>
      </c>
      <c r="AF30" s="139">
        <v>1.1736745376107791E-2</v>
      </c>
      <c r="AG30" s="139">
        <v>0.66662460208779017</v>
      </c>
      <c r="AH30" s="137" t="s">
        <v>113</v>
      </c>
      <c r="AI30" s="139">
        <v>5.1480485196506881E-4</v>
      </c>
      <c r="AJ30" s="139">
        <v>2.7383413222555153E-3</v>
      </c>
      <c r="AK30" s="139">
        <v>0.36716996710159222</v>
      </c>
      <c r="AL30" s="137" t="s">
        <v>113</v>
      </c>
      <c r="AM30" s="134">
        <v>0.11726620359866544</v>
      </c>
      <c r="AN30" s="135">
        <v>0.28435093465716743</v>
      </c>
      <c r="AO30" s="135">
        <v>-7.8295886903922959E-2</v>
      </c>
      <c r="AP30" s="135">
        <v>6.2542488224899814E-2</v>
      </c>
      <c r="AQ30" s="135">
        <v>-0.14743030913973318</v>
      </c>
      <c r="AR30" s="135">
        <v>0.26451895927166263</v>
      </c>
      <c r="AS30" s="135">
        <v>-0.35748188482491178</v>
      </c>
      <c r="AT30" s="136">
        <v>0.37042311327581279</v>
      </c>
      <c r="AU30" s="130"/>
      <c r="AV30" s="130"/>
      <c r="AW30" s="130"/>
      <c r="AX30" s="130"/>
      <c r="AY30" s="128" t="s">
        <v>113</v>
      </c>
      <c r="AZ30" s="125">
        <v>0.73590079114347828</v>
      </c>
      <c r="BA30" s="126">
        <v>0.96083345718356861</v>
      </c>
      <c r="BB30" s="126">
        <v>0.71423503602071814</v>
      </c>
      <c r="BC30" s="126">
        <v>-6.9007925115621141E-3</v>
      </c>
      <c r="BD30" s="126">
        <v>0.29874492381220508</v>
      </c>
      <c r="BE30" s="126">
        <v>0.69646047895672392</v>
      </c>
      <c r="BF30" s="126">
        <v>0.22868774142664472</v>
      </c>
      <c r="BG30" s="127">
        <v>-0.85554199845535028</v>
      </c>
      <c r="BO30" s="203" t="str">
        <f t="shared" ref="BO30:BP30" si="12">HYPERLINK("#Blueprint!X_10","view")</f>
        <v>view</v>
      </c>
      <c r="BP30" s="203"/>
      <c r="BQ30" s="204" t="s">
        <v>145</v>
      </c>
      <c r="BR30" s="205" t="s">
        <v>308</v>
      </c>
      <c r="BS30" s="205"/>
      <c r="BT30" s="205"/>
      <c r="BU30" s="205"/>
      <c r="BV30" s="205"/>
      <c r="BW30" s="205"/>
      <c r="BX30" s="205"/>
      <c r="BY30" s="205"/>
      <c r="BZ30" s="205"/>
      <c r="CA30" s="205"/>
      <c r="CB30" s="205"/>
      <c r="CC30" s="205"/>
      <c r="CD30" s="205"/>
      <c r="CE30" s="205"/>
      <c r="CF30" s="205"/>
      <c r="CG30" s="205"/>
      <c r="CH30" s="205"/>
      <c r="CI30" s="205"/>
      <c r="CJ30" s="205"/>
      <c r="CK30" s="205"/>
      <c r="CL30" s="205"/>
      <c r="CM30" s="205"/>
    </row>
    <row r="31" spans="1:91" ht="20" customHeight="1" x14ac:dyDescent="0.2">
      <c r="A31" s="198"/>
      <c r="B31" s="130"/>
      <c r="C31" s="130"/>
      <c r="D31" s="130"/>
      <c r="E31" s="130"/>
      <c r="F31" s="130"/>
      <c r="G31" s="134">
        <v>-0.71958040399476886</v>
      </c>
      <c r="H31" s="135">
        <v>0.90017655305564404</v>
      </c>
      <c r="I31" s="135">
        <v>0.84911089157685637</v>
      </c>
      <c r="J31" s="135">
        <v>0.77893791254609823</v>
      </c>
      <c r="K31" s="135">
        <v>0.10101673984900117</v>
      </c>
      <c r="L31" s="135">
        <v>-0.63896689563989639</v>
      </c>
      <c r="M31" s="135">
        <v>0.10017094714567065</v>
      </c>
      <c r="N31" s="136">
        <v>-0.48206640686839819</v>
      </c>
      <c r="O31" s="137" t="s">
        <v>113</v>
      </c>
      <c r="P31" s="139">
        <v>-9.0262148256611496E-2</v>
      </c>
      <c r="Q31" s="139">
        <v>-1.8987972969103484</v>
      </c>
      <c r="R31" s="139">
        <v>-0.65153802776149838</v>
      </c>
      <c r="S31" s="130"/>
      <c r="T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9">
        <v>0.44734190874714086</v>
      </c>
      <c r="AF31" s="139">
        <v>7.0120518796611304E-3</v>
      </c>
      <c r="AG31" s="139">
        <v>0.19138193118472241</v>
      </c>
      <c r="AH31" s="137" t="s">
        <v>113</v>
      </c>
      <c r="AI31" s="139">
        <v>-9.5414387030403822E-2</v>
      </c>
      <c r="AJ31" s="139">
        <v>-2.5146506129745659E-3</v>
      </c>
      <c r="AK31" s="139">
        <v>-0.11323000263413495</v>
      </c>
      <c r="AL31" s="137" t="s">
        <v>113</v>
      </c>
      <c r="AM31" s="134">
        <v>6.4864310796441046E-3</v>
      </c>
      <c r="AN31" s="135">
        <v>-7.6477296429480021E-2</v>
      </c>
      <c r="AO31" s="135">
        <v>6.1814562606050415E-2</v>
      </c>
      <c r="AP31" s="135">
        <v>-6.7368280859216312E-3</v>
      </c>
      <c r="AQ31" s="135">
        <v>9.082136864297026E-2</v>
      </c>
      <c r="AR31" s="135">
        <v>3.4944432589018859E-3</v>
      </c>
      <c r="AS31" s="135">
        <v>4.689161337837032E-2</v>
      </c>
      <c r="AT31" s="136">
        <v>-0.21115904027751334</v>
      </c>
      <c r="AU31" s="130"/>
      <c r="AV31" s="130"/>
      <c r="AW31" s="130"/>
      <c r="AX31" s="130"/>
      <c r="AY31" s="128" t="s">
        <v>113</v>
      </c>
      <c r="AZ31" s="125">
        <v>-0.72022904710273328</v>
      </c>
      <c r="BA31" s="126">
        <v>0.90782428269859206</v>
      </c>
      <c r="BB31" s="126">
        <v>0.84292943531625131</v>
      </c>
      <c r="BC31" s="126">
        <v>0.77961159535469038</v>
      </c>
      <c r="BD31" s="126">
        <v>9.1934602984704142E-2</v>
      </c>
      <c r="BE31" s="126">
        <v>-0.63931633996578663</v>
      </c>
      <c r="BF31" s="126">
        <v>9.5481785807833619E-2</v>
      </c>
      <c r="BG31" s="127">
        <v>-0.46095050284064687</v>
      </c>
      <c r="BO31" s="203"/>
      <c r="BP31" s="203"/>
      <c r="BQ31" s="204" t="s">
        <v>145</v>
      </c>
      <c r="BR31" s="205" t="s">
        <v>65</v>
      </c>
      <c r="BS31" s="205"/>
      <c r="BT31" s="205"/>
      <c r="BU31" s="205"/>
      <c r="BV31" s="205"/>
      <c r="BW31" s="205"/>
      <c r="BX31" s="205"/>
      <c r="BY31" s="205"/>
      <c r="BZ31" s="205"/>
      <c r="CA31" s="205"/>
      <c r="CB31" s="205"/>
      <c r="CC31" s="205"/>
      <c r="CD31" s="205"/>
      <c r="CE31" s="205"/>
      <c r="CF31" s="205"/>
      <c r="CG31" s="205"/>
      <c r="CH31" s="205"/>
      <c r="CI31" s="205"/>
      <c r="CJ31" s="205"/>
      <c r="CK31" s="205"/>
      <c r="CL31" s="205"/>
      <c r="CM31" s="205"/>
    </row>
    <row r="32" spans="1:91" ht="20" customHeight="1" x14ac:dyDescent="0.2">
      <c r="A32" s="198"/>
      <c r="B32" s="130"/>
      <c r="C32" s="130"/>
      <c r="D32" s="130"/>
      <c r="E32" s="130"/>
      <c r="F32" s="130"/>
      <c r="G32" s="134">
        <v>0.88624332519248128</v>
      </c>
      <c r="H32" s="135">
        <v>0.64300196059048176</v>
      </c>
      <c r="I32" s="135">
        <v>-0.68941218266263604</v>
      </c>
      <c r="J32" s="135">
        <v>0.65878942143172026</v>
      </c>
      <c r="K32" s="135">
        <v>-6.6155420150607824E-2</v>
      </c>
      <c r="L32" s="135">
        <v>-0.87859024479985237</v>
      </c>
      <c r="M32" s="135">
        <v>-0.95508952857926488</v>
      </c>
      <c r="N32" s="136">
        <v>7.4577544815838337E-2</v>
      </c>
      <c r="O32" s="137" t="s">
        <v>113</v>
      </c>
      <c r="P32" s="140">
        <v>-4.6890584318954986E-2</v>
      </c>
      <c r="Q32" s="140">
        <v>0.97243425109448223</v>
      </c>
      <c r="R32" s="140">
        <v>1.4317846892861223</v>
      </c>
      <c r="S32" s="130"/>
      <c r="T32" s="141" t="str">
        <f>HYPERLINK("#Blueprint!torchcode", "&lt;/&gt;")</f>
        <v>&lt;/&gt;</v>
      </c>
      <c r="V32" s="141" t="str">
        <f>HYPERLINK("#Blueprint!torchcode", "&lt;/&gt;")</f>
        <v>&lt;/&gt;</v>
      </c>
      <c r="W32" s="130"/>
      <c r="X32" s="130"/>
      <c r="Y32" s="130"/>
      <c r="Z32" s="130"/>
      <c r="AA32" s="130"/>
      <c r="AB32" s="130"/>
      <c r="AC32" s="130"/>
      <c r="AD32" s="130"/>
      <c r="AE32" s="140">
        <v>0.47229769827265233</v>
      </c>
      <c r="AF32" s="140">
        <v>1.0675403798628706</v>
      </c>
      <c r="AG32" s="140">
        <v>1.1439351615660494</v>
      </c>
      <c r="AH32" s="137" t="s">
        <v>113</v>
      </c>
      <c r="AI32" s="140">
        <v>-2.4778914052463366E-2</v>
      </c>
      <c r="AJ32" s="140">
        <v>2.8735495986903861E-2</v>
      </c>
      <c r="AK32" s="140">
        <v>5.5748388475868422E-3</v>
      </c>
      <c r="AL32" s="137" t="s">
        <v>113</v>
      </c>
      <c r="AM32" s="134">
        <v>1.4646627424901602E-2</v>
      </c>
      <c r="AN32" s="135">
        <v>-7.0917396892891584E-4</v>
      </c>
      <c r="AO32" s="135">
        <v>-1.5409782899004963E-2</v>
      </c>
      <c r="AP32" s="135">
        <v>-2.0442412181238472E-2</v>
      </c>
      <c r="AQ32" s="135">
        <v>3.6974453937510171E-2</v>
      </c>
      <c r="AR32" s="135">
        <v>1.6217118804436766E-2</v>
      </c>
      <c r="AS32" s="135">
        <v>-4.5430042036488073E-2</v>
      </c>
      <c r="AT32" s="136">
        <v>9.5314207820273375E-3</v>
      </c>
      <c r="AU32" s="130"/>
      <c r="AV32" s="130"/>
      <c r="AW32" s="130"/>
      <c r="AX32" s="130"/>
      <c r="AY32" s="128" t="s">
        <v>113</v>
      </c>
      <c r="AZ32" s="125">
        <v>0.88477866244999115</v>
      </c>
      <c r="BA32" s="126">
        <v>0.64307287798737467</v>
      </c>
      <c r="BB32" s="126">
        <v>-0.68787120437273552</v>
      </c>
      <c r="BC32" s="126">
        <v>0.66083366264984411</v>
      </c>
      <c r="BD32" s="126">
        <v>-6.9852865544358836E-2</v>
      </c>
      <c r="BE32" s="126">
        <v>-0.88021195668029606</v>
      </c>
      <c r="BF32" s="126">
        <v>-0.95054652437561604</v>
      </c>
      <c r="BG32" s="127">
        <v>7.3624402737635597E-2</v>
      </c>
      <c r="BO32" s="203"/>
      <c r="BP32" s="203"/>
      <c r="BQ32" s="204" t="s">
        <v>145</v>
      </c>
      <c r="BR32" s="205"/>
      <c r="BS32" s="205"/>
      <c r="BT32" s="205"/>
      <c r="BU32" s="205"/>
      <c r="BV32" s="205"/>
      <c r="BW32" s="205"/>
      <c r="BX32" s="205"/>
      <c r="BY32" s="205"/>
      <c r="BZ32" s="205"/>
      <c r="CA32" s="205"/>
      <c r="CB32" s="205"/>
      <c r="CC32" s="205"/>
      <c r="CD32" s="205"/>
      <c r="CE32" s="205"/>
      <c r="CF32" s="205"/>
      <c r="CG32" s="205"/>
      <c r="CH32" s="205"/>
      <c r="CI32" s="205"/>
      <c r="CJ32" s="205"/>
      <c r="CK32" s="205"/>
      <c r="CL32" s="205"/>
      <c r="CM32" s="205"/>
    </row>
    <row r="33" spans="1:91" ht="20" customHeight="1" x14ac:dyDescent="0.2">
      <c r="A33" s="198"/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42" t="str">
        <f>HYPERLINK("#X", "▲")</f>
        <v>▲</v>
      </c>
      <c r="V33" s="142" t="str">
        <f>HYPERLINK("#X", "▲")</f>
        <v>▲</v>
      </c>
      <c r="W33" s="130"/>
      <c r="X33" s="130"/>
      <c r="Y33" s="130"/>
      <c r="Z33" s="130"/>
      <c r="AA33" s="130"/>
      <c r="AB33" s="130"/>
      <c r="AC33" s="130"/>
      <c r="AD33" s="130"/>
      <c r="AE33" s="130"/>
      <c r="AF33" s="130"/>
      <c r="AG33" s="130"/>
      <c r="AH33" s="130"/>
      <c r="AI33" s="130"/>
      <c r="AJ33" s="130"/>
      <c r="AK33" s="130"/>
      <c r="AL33" s="130"/>
      <c r="AM33" s="130"/>
      <c r="AN33" s="130"/>
      <c r="AO33" s="130"/>
      <c r="AP33" s="130"/>
      <c r="AQ33" s="130"/>
      <c r="AR33" s="130"/>
      <c r="AS33" s="130"/>
      <c r="AT33" s="130"/>
      <c r="AU33" s="130"/>
      <c r="AV33" s="130"/>
      <c r="AW33" s="130"/>
      <c r="AX33" s="130"/>
      <c r="BO33" s="203" t="str">
        <f t="shared" ref="BO33:BP33" si="13">HYPERLINK("#Blueprint!L_12","view")</f>
        <v>view</v>
      </c>
      <c r="BP33" s="203"/>
      <c r="BQ33" s="204" t="s">
        <v>145</v>
      </c>
      <c r="BR33" s="205" t="s">
        <v>149</v>
      </c>
      <c r="BS33" s="205"/>
      <c r="BT33" s="205"/>
      <c r="BU33" s="205"/>
      <c r="BV33" s="205"/>
      <c r="BW33" s="205"/>
      <c r="BX33" s="205"/>
      <c r="BY33" s="205"/>
      <c r="BZ33" s="205"/>
      <c r="CA33" s="205"/>
      <c r="CB33" s="205"/>
      <c r="CC33" s="205"/>
      <c r="CD33" s="205"/>
      <c r="CE33" s="205"/>
      <c r="CF33" s="205"/>
      <c r="CG33" s="205"/>
      <c r="CH33" s="205"/>
      <c r="CI33" s="205"/>
      <c r="CJ33" s="205"/>
      <c r="CK33" s="205"/>
      <c r="CL33" s="205"/>
      <c r="CM33" s="205"/>
    </row>
    <row r="34" spans="1:91" ht="20" customHeight="1" x14ac:dyDescent="0.2">
      <c r="P34" s="143" t="s">
        <v>117</v>
      </c>
      <c r="Q34" s="143" t="s">
        <v>117</v>
      </c>
      <c r="R34" s="143" t="s">
        <v>117</v>
      </c>
      <c r="AI34" s="160" t="s">
        <v>128</v>
      </c>
      <c r="AJ34" s="160" t="s">
        <v>128</v>
      </c>
      <c r="AK34" s="160" t="s">
        <v>128</v>
      </c>
      <c r="BO34" s="203"/>
      <c r="BP34" s="203"/>
      <c r="BQ34" s="204" t="s">
        <v>145</v>
      </c>
      <c r="BR34" s="205" t="s">
        <v>150</v>
      </c>
      <c r="BS34" s="205"/>
      <c r="BT34" s="205"/>
      <c r="BU34" s="205"/>
      <c r="BV34" s="205"/>
      <c r="BW34" s="205"/>
      <c r="BX34" s="205"/>
      <c r="BY34" s="205"/>
      <c r="BZ34" s="205"/>
      <c r="CA34" s="205"/>
      <c r="CB34" s="205"/>
      <c r="CC34" s="205"/>
      <c r="CD34" s="205"/>
      <c r="CE34" s="205"/>
      <c r="CF34" s="205"/>
      <c r="CG34" s="205"/>
      <c r="CH34" s="205"/>
      <c r="CI34" s="205"/>
      <c r="CJ34" s="205"/>
      <c r="CK34" s="205"/>
      <c r="CL34" s="205"/>
      <c r="CM34" s="205"/>
    </row>
    <row r="35" spans="1:91" ht="20" customHeight="1" x14ac:dyDescent="0.2">
      <c r="A35" s="199" t="s">
        <v>244</v>
      </c>
      <c r="B35" s="123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P35" s="144" t="s">
        <v>241</v>
      </c>
      <c r="Q35" s="123"/>
      <c r="R35" s="123"/>
      <c r="S35" s="123"/>
      <c r="T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44" t="s">
        <v>137</v>
      </c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BO35" s="203" t="str">
        <f t="shared" ref="BO35:BP35" si="14">HYPERLINK("#Blueprint!X_11","view")</f>
        <v>view</v>
      </c>
      <c r="BP35" s="203"/>
      <c r="BQ35" s="204" t="s">
        <v>145</v>
      </c>
      <c r="BR35" s="205" t="s">
        <v>151</v>
      </c>
      <c r="BS35" s="205"/>
      <c r="BT35" s="205"/>
      <c r="BU35" s="205"/>
      <c r="BV35" s="205"/>
      <c r="BW35" s="205"/>
      <c r="BX35" s="205"/>
      <c r="BY35" s="205"/>
      <c r="BZ35" s="205"/>
      <c r="CA35" s="205"/>
      <c r="CB35" s="205"/>
      <c r="CC35" s="205"/>
      <c r="CD35" s="205"/>
      <c r="CE35" s="205"/>
      <c r="CF35" s="205"/>
      <c r="CG35" s="205"/>
      <c r="CH35" s="205"/>
      <c r="CI35" s="205"/>
      <c r="CJ35" s="205"/>
      <c r="CK35" s="205"/>
      <c r="CL35" s="205"/>
      <c r="CM35" s="205"/>
    </row>
    <row r="36" spans="1:91" ht="20" customHeight="1" x14ac:dyDescent="0.2">
      <c r="A36" s="199"/>
      <c r="B36" s="123"/>
      <c r="C36" s="123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45" t="s">
        <v>242</v>
      </c>
      <c r="Q36" s="123"/>
      <c r="R36" s="123"/>
      <c r="S36" s="123"/>
      <c r="T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61" t="s">
        <v>300</v>
      </c>
      <c r="AH36" s="123"/>
      <c r="AI36" s="145" t="s">
        <v>301</v>
      </c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BO36" s="203" t="str">
        <f t="shared" ref="BO36:BP36" si="15">HYPERLINK("#Blueprint!L_12","view")</f>
        <v>view</v>
      </c>
      <c r="BP36" s="203"/>
      <c r="BQ36" s="204" t="s">
        <v>145</v>
      </c>
      <c r="BR36" s="205" t="s">
        <v>152</v>
      </c>
      <c r="BS36" s="205"/>
      <c r="BT36" s="205"/>
      <c r="BU36" s="205"/>
      <c r="BV36" s="205"/>
      <c r="BW36" s="205"/>
      <c r="BX36" s="205"/>
      <c r="BY36" s="205"/>
      <c r="BZ36" s="205"/>
      <c r="CA36" s="205"/>
      <c r="CB36" s="205"/>
      <c r="CC36" s="205"/>
      <c r="CD36" s="205"/>
      <c r="CE36" s="205"/>
      <c r="CF36" s="205"/>
      <c r="CG36" s="205"/>
      <c r="CH36" s="205"/>
      <c r="CI36" s="205"/>
      <c r="CJ36" s="205"/>
      <c r="CK36" s="205"/>
      <c r="CL36" s="205"/>
      <c r="CM36" s="205"/>
    </row>
    <row r="37" spans="1:91" ht="20" customHeight="1" x14ac:dyDescent="0.2">
      <c r="A37" s="199"/>
      <c r="B37" s="123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146" cm="1">
        <f t="array" ref="P37:R40">1+ERF(Blueprint!P29:R32/SQRT(2))</f>
        <v>1.3477692549067855</v>
      </c>
      <c r="Q37" s="146">
        <v>0.95888652124792728</v>
      </c>
      <c r="R37" s="146">
        <v>2.9656953099075123E-2</v>
      </c>
      <c r="S37" s="123"/>
      <c r="T37" s="123"/>
      <c r="V37" s="123"/>
      <c r="W37" s="123"/>
      <c r="X37" s="123"/>
      <c r="Y37" s="123"/>
      <c r="Z37" s="123"/>
      <c r="AA37" s="123"/>
      <c r="AB37" s="123"/>
      <c r="AC37" s="123"/>
      <c r="AD37" s="123"/>
      <c r="AE37" s="146" cm="1">
        <f t="array" ref="AE37:AG40">_xlfn.DROP(1-(X_2*X_2),-1)</f>
        <v>0.91315678439385173</v>
      </c>
      <c r="AF37" s="146">
        <v>0.99938938064039673</v>
      </c>
      <c r="AG37" s="146">
        <v>0.99896087540000866</v>
      </c>
      <c r="AH37" s="156" t="s">
        <v>113</v>
      </c>
      <c r="AI37" s="146" cm="1">
        <f t="array" ref="AI37:AK40">G_2*MaskTanh_2</f>
        <v>0.15626581548326157</v>
      </c>
      <c r="AJ37" s="146">
        <v>0.10661241629149511</v>
      </c>
      <c r="AK37" s="146">
        <v>0.20749147442344082</v>
      </c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BO37" s="203"/>
      <c r="BP37" s="203"/>
      <c r="BQ37" s="204" t="s">
        <v>145</v>
      </c>
      <c r="BR37" s="205"/>
      <c r="BS37" s="205"/>
      <c r="BT37" s="205"/>
      <c r="BU37" s="205"/>
      <c r="BV37" s="205"/>
      <c r="BW37" s="205"/>
      <c r="BX37" s="205"/>
      <c r="BY37" s="205"/>
      <c r="BZ37" s="205"/>
      <c r="CA37" s="205"/>
      <c r="CB37" s="205"/>
      <c r="CC37" s="205"/>
      <c r="CD37" s="205"/>
      <c r="CE37" s="205"/>
      <c r="CF37" s="205"/>
      <c r="CG37" s="205"/>
      <c r="CH37" s="205"/>
      <c r="CI37" s="205"/>
      <c r="CJ37" s="205"/>
      <c r="CK37" s="205"/>
      <c r="CL37" s="205"/>
      <c r="CM37" s="205"/>
    </row>
    <row r="38" spans="1:91" ht="20" customHeight="1" x14ac:dyDescent="0.2">
      <c r="A38" s="199"/>
      <c r="B38" s="123"/>
      <c r="C38" s="123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47">
        <v>2.8892147505352295E-2</v>
      </c>
      <c r="Q38" s="147">
        <v>7.8399306730702722E-2</v>
      </c>
      <c r="R38" s="147">
        <v>1.207849237376573</v>
      </c>
      <c r="S38" s="123"/>
      <c r="T38" s="123"/>
      <c r="V38" s="123"/>
      <c r="W38" s="123"/>
      <c r="X38" s="123"/>
      <c r="Y38" s="123"/>
      <c r="Z38" s="123"/>
      <c r="AA38" s="123"/>
      <c r="AB38" s="123"/>
      <c r="AC38" s="123"/>
      <c r="AD38" s="123"/>
      <c r="AE38" s="147">
        <v>0.99900437394192121</v>
      </c>
      <c r="AF38" s="147">
        <v>0.99525498189740269</v>
      </c>
      <c r="AG38" s="147">
        <v>0.97509430936230623</v>
      </c>
      <c r="AH38" s="156" t="s">
        <v>113</v>
      </c>
      <c r="AI38" s="147">
        <v>0.27702977403755769</v>
      </c>
      <c r="AJ38" s="147">
        <v>0.2333135153319327</v>
      </c>
      <c r="AK38" s="147">
        <v>0.55078970375779546</v>
      </c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BO38" s="203"/>
      <c r="BP38" s="203"/>
      <c r="BQ38" s="204" t="s">
        <v>145</v>
      </c>
      <c r="BR38" s="205" t="s">
        <v>153</v>
      </c>
      <c r="BS38" s="205"/>
      <c r="BT38" s="205"/>
      <c r="BU38" s="205"/>
      <c r="BV38" s="205"/>
      <c r="BW38" s="205"/>
      <c r="BX38" s="205"/>
      <c r="BY38" s="205"/>
      <c r="BZ38" s="205"/>
      <c r="CA38" s="205"/>
      <c r="CB38" s="205"/>
      <c r="CC38" s="205"/>
      <c r="CD38" s="205"/>
      <c r="CE38" s="205"/>
      <c r="CF38" s="205"/>
      <c r="CG38" s="205"/>
      <c r="CH38" s="205"/>
      <c r="CI38" s="205"/>
      <c r="CJ38" s="205"/>
      <c r="CK38" s="205"/>
      <c r="CL38" s="205"/>
      <c r="CM38" s="205"/>
    </row>
    <row r="39" spans="1:91" ht="20" customHeight="1" x14ac:dyDescent="0.2">
      <c r="A39" s="199"/>
      <c r="B39" s="123"/>
      <c r="C39" s="123"/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47">
        <v>0.92807889864419291</v>
      </c>
      <c r="Q39" s="147">
        <v>5.7591132752214724E-2</v>
      </c>
      <c r="R39" s="147">
        <v>0.51469923752734004</v>
      </c>
      <c r="S39" s="123"/>
      <c r="T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47">
        <v>0.99824768006193088</v>
      </c>
      <c r="AF39" s="147">
        <v>0.99701638010571392</v>
      </c>
      <c r="AG39" s="147">
        <v>0.97240441121974686</v>
      </c>
      <c r="AH39" s="156" t="s">
        <v>113</v>
      </c>
      <c r="AI39" s="147">
        <v>-0.21329185834081246</v>
      </c>
      <c r="AJ39" s="147">
        <v>-0.35861836964847021</v>
      </c>
      <c r="AK39" s="147">
        <v>-0.5916441637577845</v>
      </c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BO39" s="203"/>
      <c r="BP39" s="203"/>
      <c r="BQ39" s="204" t="s">
        <v>145</v>
      </c>
      <c r="BR39" s="205" t="s">
        <v>311</v>
      </c>
      <c r="BS39" s="205"/>
      <c r="BT39" s="205"/>
      <c r="BU39" s="205"/>
      <c r="BV39" s="205"/>
      <c r="BW39" s="205"/>
      <c r="BX39" s="205"/>
      <c r="BY39" s="205"/>
      <c r="BZ39" s="205"/>
      <c r="CA39" s="205"/>
      <c r="CB39" s="205"/>
      <c r="CC39" s="205"/>
      <c r="CD39" s="205"/>
      <c r="CE39" s="205"/>
      <c r="CF39" s="205"/>
      <c r="CG39" s="205"/>
      <c r="CH39" s="205"/>
      <c r="CI39" s="205"/>
      <c r="CJ39" s="205"/>
      <c r="CK39" s="205"/>
      <c r="CL39" s="205"/>
      <c r="CM39" s="205"/>
    </row>
    <row r="40" spans="1:91" ht="20" customHeight="1" x14ac:dyDescent="0.2">
      <c r="A40" s="199"/>
      <c r="B40" s="123"/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48">
        <v>0.96260043246601001</v>
      </c>
      <c r="Q40" s="148">
        <v>1.6691654406617884</v>
      </c>
      <c r="R40" s="148">
        <v>1.8477945496561039</v>
      </c>
      <c r="S40" s="123"/>
      <c r="T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48">
        <v>0.99949083803617766</v>
      </c>
      <c r="AF40" s="148">
        <v>0.55048446932071293</v>
      </c>
      <c r="AG40" s="148">
        <v>0.24747151218479246</v>
      </c>
      <c r="AH40" s="156" t="s">
        <v>113</v>
      </c>
      <c r="AI40" s="148">
        <v>-5.246460895974718E-2</v>
      </c>
      <c r="AJ40" s="148">
        <v>2.6917479215723003E-2</v>
      </c>
      <c r="AK40" s="148">
        <v>4.8733870894875526E-3</v>
      </c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BO40" s="203"/>
      <c r="BP40" s="203"/>
      <c r="BQ40" s="204" t="s">
        <v>145</v>
      </c>
      <c r="BR40" s="205" t="s">
        <v>154</v>
      </c>
      <c r="BS40" s="205"/>
      <c r="BT40" s="205"/>
      <c r="BU40" s="205"/>
      <c r="BV40" s="205"/>
      <c r="BW40" s="205"/>
      <c r="BX40" s="205"/>
      <c r="BY40" s="205"/>
      <c r="BZ40" s="205"/>
      <c r="CA40" s="205"/>
      <c r="CB40" s="205"/>
      <c r="CC40" s="205"/>
      <c r="CD40" s="205"/>
      <c r="CE40" s="205"/>
      <c r="CF40" s="205"/>
      <c r="CG40" s="205"/>
      <c r="CH40" s="205"/>
      <c r="CI40" s="205"/>
      <c r="CJ40" s="205"/>
      <c r="CK40" s="205"/>
      <c r="CL40" s="205"/>
      <c r="CM40" s="205"/>
    </row>
    <row r="41" spans="1:91" ht="20" customHeight="1" x14ac:dyDescent="0.2">
      <c r="A41" s="199"/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45" t="s">
        <v>243</v>
      </c>
      <c r="Q41" s="123"/>
      <c r="R41" s="123"/>
      <c r="S41" s="123"/>
      <c r="T41" s="123"/>
      <c r="V41" s="123"/>
      <c r="W41" s="123"/>
      <c r="X41" s="123"/>
      <c r="Y41" s="123"/>
      <c r="Z41" s="123"/>
      <c r="AA41" s="123"/>
      <c r="AB41" s="123"/>
      <c r="AC41" s="123"/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BO41" s="203"/>
      <c r="BP41" s="203"/>
      <c r="BQ41" s="204" t="s">
        <v>145</v>
      </c>
      <c r="BR41" s="205" t="s">
        <v>155</v>
      </c>
      <c r="BS41" s="205"/>
      <c r="BT41" s="205"/>
      <c r="BU41" s="205"/>
      <c r="BV41" s="205"/>
      <c r="BW41" s="205"/>
      <c r="BX41" s="205"/>
      <c r="BY41" s="205"/>
      <c r="BZ41" s="205"/>
      <c r="CA41" s="205"/>
      <c r="CB41" s="205"/>
      <c r="CC41" s="205"/>
      <c r="CD41" s="205"/>
      <c r="CE41" s="205"/>
      <c r="CF41" s="205"/>
      <c r="CG41" s="205"/>
      <c r="CH41" s="205"/>
      <c r="CI41" s="205"/>
      <c r="CJ41" s="205"/>
      <c r="CK41" s="205"/>
      <c r="CL41" s="205"/>
      <c r="CM41" s="205"/>
    </row>
    <row r="42" spans="1:91" ht="20" customHeight="1" x14ac:dyDescent="0.2">
      <c r="A42" s="199"/>
      <c r="B42" s="123"/>
      <c r="C42" s="123"/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146" cm="1">
        <f t="array" ref="P42:R45">0.5*Blueprint!P29:R32*Blueprint!P37:R40</f>
        <v>0.30369646467504741</v>
      </c>
      <c r="Q42" s="146">
        <v>-2.4715744914851987E-2</v>
      </c>
      <c r="R42" s="146">
        <v>-3.2246628153185207E-2</v>
      </c>
      <c r="S42" s="123"/>
      <c r="T42" s="123"/>
      <c r="V42" s="123"/>
      <c r="W42" s="123"/>
      <c r="X42" s="123"/>
      <c r="Y42" s="123"/>
      <c r="Z42" s="123"/>
      <c r="AA42" s="123"/>
      <c r="AB42" s="123"/>
      <c r="AC42" s="123"/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  <c r="BO42" s="203"/>
      <c r="BP42" s="203"/>
      <c r="BQ42" s="204" t="s">
        <v>145</v>
      </c>
      <c r="BR42" s="205"/>
      <c r="BS42" s="205"/>
      <c r="BT42" s="205"/>
      <c r="BU42" s="205"/>
      <c r="BV42" s="205"/>
      <c r="BW42" s="205"/>
      <c r="BX42" s="205"/>
      <c r="BY42" s="205"/>
      <c r="BZ42" s="205"/>
      <c r="CA42" s="205"/>
      <c r="CB42" s="205"/>
      <c r="CC42" s="205"/>
      <c r="CD42" s="205"/>
      <c r="CE42" s="205"/>
      <c r="CF42" s="205"/>
      <c r="CG42" s="205"/>
      <c r="CH42" s="205"/>
      <c r="CI42" s="205"/>
      <c r="CJ42" s="205"/>
      <c r="CK42" s="205"/>
      <c r="CL42" s="205"/>
      <c r="CM42" s="205"/>
    </row>
    <row r="43" spans="1:91" ht="20" customHeight="1" x14ac:dyDescent="0.2">
      <c r="A43" s="199"/>
      <c r="B43" s="123"/>
      <c r="C43" s="123"/>
      <c r="D43" s="123"/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147">
        <v>-3.1564020821544483E-2</v>
      </c>
      <c r="Q43" s="147">
        <v>-6.8993355126781702E-2</v>
      </c>
      <c r="R43" s="147">
        <v>0.15914546929326165</v>
      </c>
      <c r="S43" s="123"/>
      <c r="T43" s="123"/>
      <c r="V43" s="123"/>
      <c r="W43" s="123"/>
      <c r="X43" s="123"/>
      <c r="Y43" s="123"/>
      <c r="Z43" s="123"/>
      <c r="AA43" s="123"/>
      <c r="AB43" s="123"/>
      <c r="AC43" s="123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BO43" s="203"/>
      <c r="BP43" s="203"/>
      <c r="BQ43" s="204" t="s">
        <v>145</v>
      </c>
      <c r="BR43" s="205" t="s">
        <v>156</v>
      </c>
      <c r="BS43" s="205"/>
      <c r="BT43" s="205"/>
      <c r="BU43" s="205"/>
      <c r="BV43" s="205"/>
      <c r="BW43" s="205"/>
      <c r="BX43" s="205"/>
      <c r="BY43" s="205"/>
      <c r="BZ43" s="205"/>
      <c r="CA43" s="205"/>
      <c r="CB43" s="205"/>
      <c r="CC43" s="205"/>
      <c r="CD43" s="205"/>
      <c r="CE43" s="205"/>
      <c r="CF43" s="205"/>
      <c r="CG43" s="205"/>
      <c r="CH43" s="205"/>
      <c r="CI43" s="205"/>
      <c r="CJ43" s="205"/>
      <c r="CK43" s="205"/>
      <c r="CL43" s="205"/>
      <c r="CM43" s="205"/>
    </row>
    <row r="44" spans="1:91" ht="20" customHeight="1" x14ac:dyDescent="0.2">
      <c r="A44" s="199"/>
      <c r="B44" s="123"/>
      <c r="C44" s="123"/>
      <c r="D44" s="123"/>
      <c r="E44" s="123"/>
      <c r="F44" s="123"/>
      <c r="G44" s="123"/>
      <c r="H44" s="123"/>
      <c r="I44" s="123"/>
      <c r="J44" s="123"/>
      <c r="K44" s="123"/>
      <c r="L44" s="123"/>
      <c r="M44" s="123"/>
      <c r="N44" s="123"/>
      <c r="O44" s="123"/>
      <c r="P44" s="147">
        <v>-4.1885197571627425E-2</v>
      </c>
      <c r="Q44" s="147">
        <v>-5.4676943597955177E-2</v>
      </c>
      <c r="R44" s="147">
        <v>-0.16767306305445506</v>
      </c>
      <c r="S44" s="123"/>
      <c r="T44" s="123"/>
      <c r="V44" s="123"/>
      <c r="W44" s="123"/>
      <c r="X44" s="123"/>
      <c r="Y44" s="123"/>
      <c r="Z44" s="123"/>
      <c r="AA44" s="123"/>
      <c r="AB44" s="123"/>
      <c r="AC44" s="123"/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  <c r="BO44" s="203" t="str">
        <f t="shared" ref="BO44:BP44" si="16">HYPERLINK("#Blueprint!X_11","view")</f>
        <v>view</v>
      </c>
      <c r="BP44" s="203"/>
      <c r="BQ44" s="204" t="s">
        <v>145</v>
      </c>
      <c r="BR44" s="205" t="s">
        <v>157</v>
      </c>
      <c r="BS44" s="205"/>
      <c r="BT44" s="205"/>
      <c r="BU44" s="205"/>
      <c r="BV44" s="205"/>
      <c r="BW44" s="205"/>
      <c r="BX44" s="205"/>
      <c r="BY44" s="205"/>
      <c r="BZ44" s="205"/>
      <c r="CA44" s="205"/>
      <c r="CB44" s="205"/>
      <c r="CC44" s="205"/>
      <c r="CD44" s="205"/>
      <c r="CE44" s="205"/>
      <c r="CF44" s="205"/>
      <c r="CG44" s="205"/>
      <c r="CH44" s="205"/>
      <c r="CI44" s="205"/>
      <c r="CJ44" s="205"/>
      <c r="CK44" s="205"/>
      <c r="CL44" s="205"/>
      <c r="CM44" s="205"/>
    </row>
    <row r="45" spans="1:91" ht="20" customHeight="1" x14ac:dyDescent="0.2">
      <c r="A45" s="199"/>
      <c r="B45" s="123"/>
      <c r="C45" s="123"/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48">
        <v>-2.2568448372004987E-2</v>
      </c>
      <c r="Q45" s="148">
        <v>0.81157682262136877</v>
      </c>
      <c r="R45" s="148">
        <v>1.3228219725719776</v>
      </c>
      <c r="S45" s="123"/>
      <c r="T45" s="149" t="str">
        <f>HYPERLINK("#Blueprint!torchcode", "&lt;/&gt;")</f>
        <v>&lt;/&gt;</v>
      </c>
      <c r="V45" s="149" t="str">
        <f>HYPERLINK("#Blueprint!torchcode", "&lt;/&gt;")</f>
        <v>&lt;/&gt;</v>
      </c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BO45" s="203" t="str">
        <f t="shared" ref="BO45:BP45" si="17">HYPERLINK("#Blueprint!L_12","view")</f>
        <v>view</v>
      </c>
      <c r="BP45" s="203"/>
      <c r="BQ45" s="204" t="s">
        <v>145</v>
      </c>
      <c r="BR45" s="205" t="s">
        <v>158</v>
      </c>
      <c r="BS45" s="205"/>
      <c r="BT45" s="205"/>
      <c r="BU45" s="205"/>
      <c r="BV45" s="205"/>
      <c r="BW45" s="205"/>
      <c r="BX45" s="205"/>
      <c r="BY45" s="205"/>
      <c r="BZ45" s="205"/>
      <c r="CA45" s="205"/>
      <c r="CB45" s="205"/>
      <c r="CC45" s="205"/>
      <c r="CD45" s="205"/>
      <c r="CE45" s="205"/>
      <c r="CF45" s="205"/>
      <c r="CG45" s="205"/>
      <c r="CH45" s="205"/>
      <c r="CI45" s="205"/>
      <c r="CJ45" s="205"/>
      <c r="CK45" s="205"/>
      <c r="CL45" s="205"/>
      <c r="CM45" s="205"/>
    </row>
    <row r="46" spans="1:91" ht="20" customHeight="1" x14ac:dyDescent="0.2">
      <c r="A46" s="199"/>
      <c r="B46" s="123"/>
      <c r="C46" s="123"/>
      <c r="D46" s="123"/>
      <c r="E46" s="123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50" t="str">
        <f>HYPERLINK("#X", "▲")</f>
        <v>▲</v>
      </c>
      <c r="V46" s="150" t="str">
        <f>HYPERLINK("#X", "▲")</f>
        <v>▲</v>
      </c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BO46" s="203"/>
      <c r="BP46" s="203"/>
      <c r="BQ46" s="204" t="s">
        <v>145</v>
      </c>
      <c r="BR46" s="205" t="s">
        <v>159</v>
      </c>
      <c r="BS46" s="205"/>
      <c r="BT46" s="205"/>
      <c r="BU46" s="205"/>
      <c r="BV46" s="205"/>
      <c r="BW46" s="205"/>
      <c r="BX46" s="205"/>
      <c r="BY46" s="205"/>
      <c r="BZ46" s="205"/>
      <c r="CA46" s="205"/>
      <c r="CB46" s="205"/>
      <c r="CC46" s="205"/>
      <c r="CD46" s="205"/>
      <c r="CE46" s="205"/>
      <c r="CF46" s="205"/>
      <c r="CG46" s="205"/>
      <c r="CH46" s="205"/>
      <c r="CI46" s="205"/>
      <c r="CJ46" s="205"/>
      <c r="CK46" s="205"/>
      <c r="CL46" s="205"/>
      <c r="CM46" s="205"/>
    </row>
    <row r="47" spans="1:91" ht="20" customHeight="1" x14ac:dyDescent="0.2">
      <c r="P47" s="143" t="s">
        <v>117</v>
      </c>
      <c r="Q47" s="143" t="s">
        <v>117</v>
      </c>
      <c r="R47" s="143" t="s">
        <v>117</v>
      </c>
      <c r="AI47" s="160" t="s">
        <v>128</v>
      </c>
      <c r="AJ47" s="160" t="s">
        <v>128</v>
      </c>
      <c r="AK47" s="160" t="s">
        <v>128</v>
      </c>
      <c r="BO47" s="203"/>
      <c r="BP47" s="203"/>
      <c r="BQ47" s="204" t="s">
        <v>145</v>
      </c>
      <c r="BR47" s="205" t="s">
        <v>160</v>
      </c>
      <c r="BS47" s="205"/>
      <c r="BT47" s="205"/>
      <c r="BU47" s="205"/>
      <c r="BV47" s="205"/>
      <c r="BW47" s="205"/>
      <c r="BX47" s="205"/>
      <c r="BY47" s="205"/>
      <c r="BZ47" s="205"/>
      <c r="CA47" s="205"/>
      <c r="CB47" s="205"/>
      <c r="CC47" s="205"/>
      <c r="CD47" s="205"/>
      <c r="CE47" s="205"/>
      <c r="CF47" s="205"/>
      <c r="CG47" s="205"/>
      <c r="CH47" s="205"/>
      <c r="CI47" s="205"/>
      <c r="CJ47" s="205"/>
      <c r="CK47" s="205"/>
      <c r="CL47" s="205"/>
      <c r="CM47" s="205"/>
    </row>
    <row r="48" spans="1:91" ht="20" customHeight="1" x14ac:dyDescent="0.2">
      <c r="A48" s="198" t="s">
        <v>249</v>
      </c>
      <c r="B48" s="130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1" t="s">
        <v>245</v>
      </c>
      <c r="Q48" s="130"/>
      <c r="R48" s="130"/>
      <c r="S48" s="130"/>
      <c r="T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31" t="s">
        <v>135</v>
      </c>
      <c r="AJ48" s="130"/>
      <c r="AK48" s="130"/>
      <c r="AL48" s="130"/>
      <c r="AM48" s="130"/>
      <c r="AN48" s="130"/>
      <c r="AO48" s="130"/>
      <c r="AP48" s="130"/>
      <c r="AQ48" s="130"/>
      <c r="AR48" s="130"/>
      <c r="AS48" s="130"/>
      <c r="AT48" s="130"/>
      <c r="AU48" s="130"/>
      <c r="AV48" s="130"/>
      <c r="AW48" s="130"/>
      <c r="AX48" s="130"/>
      <c r="BO48" s="203"/>
      <c r="BP48" s="203"/>
      <c r="BQ48" s="204" t="s">
        <v>145</v>
      </c>
      <c r="BR48" s="205" t="s">
        <v>161</v>
      </c>
      <c r="BS48" s="205"/>
      <c r="BT48" s="205"/>
      <c r="BU48" s="205"/>
      <c r="BV48" s="205"/>
      <c r="BW48" s="205"/>
      <c r="BX48" s="205"/>
      <c r="BY48" s="205"/>
      <c r="BZ48" s="205"/>
      <c r="CA48" s="205"/>
      <c r="CB48" s="205"/>
      <c r="CC48" s="205"/>
      <c r="CD48" s="205"/>
      <c r="CE48" s="205"/>
      <c r="CF48" s="205"/>
      <c r="CG48" s="205"/>
      <c r="CH48" s="205"/>
      <c r="CI48" s="205"/>
      <c r="CJ48" s="205"/>
      <c r="CK48" s="205"/>
      <c r="CL48" s="205"/>
      <c r="CM48" s="205"/>
    </row>
    <row r="49" spans="1:50" ht="20" customHeight="1" x14ac:dyDescent="0.2">
      <c r="A49" s="198"/>
      <c r="B49" s="130"/>
      <c r="C49" s="130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3" t="s">
        <v>246</v>
      </c>
      <c r="Q49" s="130"/>
      <c r="R49" s="130"/>
      <c r="S49" s="130"/>
      <c r="T49" s="130"/>
      <c r="V49" s="130"/>
      <c r="W49" s="130"/>
      <c r="X49" s="130"/>
      <c r="Y49" s="130"/>
      <c r="Z49" s="130"/>
      <c r="AA49" s="130"/>
      <c r="AB49" s="130"/>
      <c r="AC49" s="130"/>
      <c r="AD49" s="130"/>
      <c r="AE49" s="130"/>
      <c r="AF49" s="130"/>
      <c r="AG49" s="162" t="s">
        <v>134</v>
      </c>
      <c r="AH49" s="130"/>
      <c r="AI49" s="133" t="s">
        <v>136</v>
      </c>
      <c r="AJ49" s="130"/>
      <c r="AK49" s="130"/>
      <c r="AL49" s="130"/>
      <c r="AM49" s="130"/>
      <c r="AN49" s="130"/>
      <c r="AO49" s="130"/>
      <c r="AP49" s="130"/>
      <c r="AQ49" s="130"/>
      <c r="AR49" s="130"/>
      <c r="AS49" s="130"/>
      <c r="AT49" s="130"/>
      <c r="AU49" s="130"/>
      <c r="AV49" s="130"/>
      <c r="AW49" s="130"/>
      <c r="AX49" s="130"/>
    </row>
    <row r="50" spans="1:50" ht="20" customHeight="1" x14ac:dyDescent="0.2">
      <c r="A50" s="198"/>
      <c r="B50" s="130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8" cm="1">
        <f t="array" ref="P50:R53">EXP(Blueprint!P42:R45)</f>
        <v>1.3548577464829887</v>
      </c>
      <c r="Q50" s="138">
        <v>0.97558718823714119</v>
      </c>
      <c r="R50" s="138">
        <v>0.96826775054201275</v>
      </c>
      <c r="S50" s="130"/>
      <c r="T50" s="130"/>
      <c r="V50" s="130"/>
      <c r="W50" s="130"/>
      <c r="X50" s="134" cm="1">
        <f t="array" ref="X50:AG54">TRANSPOSE(W_3)</f>
        <v>-0.49530965043231845</v>
      </c>
      <c r="Y50" s="135">
        <v>-0.94867219030857086</v>
      </c>
      <c r="Z50" s="135">
        <v>0.70640544733032584</v>
      </c>
      <c r="AA50" s="135">
        <v>-0.81849968712776899</v>
      </c>
      <c r="AB50" s="135">
        <v>0.10101673984900117</v>
      </c>
      <c r="AC50" s="135">
        <v>0.64300196059048176</v>
      </c>
      <c r="AD50" s="135">
        <v>-0.95508952857926488</v>
      </c>
      <c r="AE50" s="135">
        <v>-0.23848383221775293</v>
      </c>
      <c r="AF50" s="135">
        <v>0.98057489516213536</v>
      </c>
      <c r="AG50" s="136">
        <v>-0.74599776789546013</v>
      </c>
      <c r="AH50" s="137" t="s">
        <v>113</v>
      </c>
      <c r="AI50" s="138" cm="1">
        <f t="array" ref="AI50:AK53">_xlfn.DROP(MMULT(W_3T, G_3), -1)</f>
        <v>0.17112703771564258</v>
      </c>
      <c r="AJ50" s="138">
        <v>0.10667755567222373</v>
      </c>
      <c r="AK50" s="138">
        <v>0.2077073081969863</v>
      </c>
      <c r="AL50" s="130"/>
      <c r="AM50" s="130"/>
      <c r="AN50" s="130"/>
      <c r="AO50" s="130"/>
      <c r="AP50" s="130"/>
      <c r="AQ50" s="130"/>
      <c r="AR50" s="130"/>
      <c r="AS50" s="130"/>
      <c r="AT50" s="130"/>
      <c r="AU50" s="130"/>
      <c r="AV50" s="130"/>
      <c r="AW50" s="130"/>
      <c r="AX50" s="130"/>
    </row>
    <row r="51" spans="1:50" ht="20" customHeight="1" x14ac:dyDescent="0.2">
      <c r="A51" s="198"/>
      <c r="B51" s="130"/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9">
        <v>0.96892892284238086</v>
      </c>
      <c r="Q51" s="139">
        <v>0.93333288193626762</v>
      </c>
      <c r="R51" s="139">
        <v>1.172508498257993</v>
      </c>
      <c r="S51" s="130"/>
      <c r="T51" s="130"/>
      <c r="V51" s="130"/>
      <c r="W51" s="130"/>
      <c r="X51" s="134">
        <v>-0.82374990917742252</v>
      </c>
      <c r="Y51" s="135">
        <v>-0.10543742822483182</v>
      </c>
      <c r="Z51" s="135">
        <v>-6.4654368907213211E-4</v>
      </c>
      <c r="AA51" s="135">
        <v>-0.71958040399476886</v>
      </c>
      <c r="AB51" s="135">
        <v>-0.63896689563989639</v>
      </c>
      <c r="AC51" s="135">
        <v>-0.68941218266263604</v>
      </c>
      <c r="AD51" s="135">
        <v>7.4577544815838337E-2</v>
      </c>
      <c r="AE51" s="135">
        <v>0.17131369048729539</v>
      </c>
      <c r="AF51" s="135">
        <v>-0.10049430094659328</v>
      </c>
      <c r="AG51" s="136">
        <v>0.53752975491806865</v>
      </c>
      <c r="AH51" s="137" t="s">
        <v>113</v>
      </c>
      <c r="AI51" s="139">
        <v>0.27730586698478588</v>
      </c>
      <c r="AJ51" s="139">
        <v>0.23442587033036744</v>
      </c>
      <c r="AK51" s="139">
        <v>0.56485787935528187</v>
      </c>
      <c r="AL51" s="130"/>
      <c r="AM51" s="130"/>
      <c r="AN51" s="130"/>
      <c r="AO51" s="130"/>
      <c r="AP51" s="130"/>
      <c r="AQ51" s="130"/>
      <c r="AR51" s="130"/>
      <c r="AS51" s="130"/>
      <c r="AT51" s="130"/>
      <c r="AU51" s="130"/>
      <c r="AV51" s="130"/>
      <c r="AW51" s="130"/>
      <c r="AX51" s="130"/>
    </row>
    <row r="52" spans="1:50" ht="20" customHeight="1" x14ac:dyDescent="0.2">
      <c r="A52" s="198"/>
      <c r="B52" s="130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9">
        <v>0.95897986747078812</v>
      </c>
      <c r="Q52" s="139">
        <v>0.9467909654354586</v>
      </c>
      <c r="R52" s="139">
        <v>0.84563025726919083</v>
      </c>
      <c r="S52" s="130"/>
      <c r="T52" s="130"/>
      <c r="V52" s="130"/>
      <c r="W52" s="130"/>
      <c r="X52" s="134">
        <v>0.15456239646300673</v>
      </c>
      <c r="Y52" s="135">
        <v>-0.7630799924954772</v>
      </c>
      <c r="Z52" s="135">
        <v>0.28400189289823174</v>
      </c>
      <c r="AA52" s="135">
        <v>0.90017655305564404</v>
      </c>
      <c r="AB52" s="135">
        <v>0.10017094714567065</v>
      </c>
      <c r="AC52" s="135">
        <v>0.65878942143172026</v>
      </c>
      <c r="AD52" s="135">
        <v>0.65992052899673581</v>
      </c>
      <c r="AE52" s="135">
        <v>0.39279431104660034</v>
      </c>
      <c r="AF52" s="135">
        <v>-0.80414718249812722</v>
      </c>
      <c r="AG52" s="136">
        <v>0.18744094390422106</v>
      </c>
      <c r="AH52" s="137" t="s">
        <v>113</v>
      </c>
      <c r="AI52" s="139">
        <v>-0.21366627000583654</v>
      </c>
      <c r="AJ52" s="139">
        <v>-0.35969155252037666</v>
      </c>
      <c r="AK52" s="139">
        <v>-0.60843426554970959</v>
      </c>
      <c r="AL52" s="130"/>
      <c r="AM52" s="130"/>
      <c r="AN52" s="130"/>
      <c r="AO52" s="130"/>
      <c r="AP52" s="130"/>
      <c r="AQ52" s="130"/>
      <c r="AR52" s="130"/>
      <c r="AS52" s="130"/>
      <c r="AT52" s="130"/>
      <c r="AU52" s="130"/>
      <c r="AV52" s="130"/>
      <c r="AW52" s="130"/>
      <c r="AX52" s="130"/>
    </row>
    <row r="53" spans="1:50" ht="20" customHeight="1" x14ac:dyDescent="0.2">
      <c r="A53" s="198"/>
      <c r="B53" s="130"/>
      <c r="C53" s="130"/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40">
        <v>0.97768431400334244</v>
      </c>
      <c r="Q53" s="140">
        <v>2.2514553348750597</v>
      </c>
      <c r="R53" s="140">
        <v>3.7540001291663598</v>
      </c>
      <c r="S53" s="130"/>
      <c r="T53" s="130"/>
      <c r="V53" s="130"/>
      <c r="W53" s="130"/>
      <c r="X53" s="134">
        <v>-0.55489146802574396</v>
      </c>
      <c r="Y53" s="135">
        <v>0.74762741150334477</v>
      </c>
      <c r="Z53" s="135">
        <v>0.72291237488389015</v>
      </c>
      <c r="AA53" s="135">
        <v>0.84911089157685637</v>
      </c>
      <c r="AB53" s="135">
        <v>-0.48206640686839819</v>
      </c>
      <c r="AC53" s="135">
        <v>-6.6155420150607824E-2</v>
      </c>
      <c r="AD53" s="135">
        <v>0.69066423736512661</v>
      </c>
      <c r="AE53" s="135">
        <v>0.42273078812286258</v>
      </c>
      <c r="AF53" s="135">
        <v>-0.61681174952536821</v>
      </c>
      <c r="AG53" s="136">
        <v>0.60928811924532056</v>
      </c>
      <c r="AH53" s="137" t="s">
        <v>113</v>
      </c>
      <c r="AI53" s="140">
        <v>-5.2491335551240109E-2</v>
      </c>
      <c r="AJ53" s="140">
        <v>4.8897799512743104E-2</v>
      </c>
      <c r="AK53" s="140">
        <v>1.96927195638118E-2</v>
      </c>
      <c r="AL53" s="130"/>
      <c r="AM53" s="130"/>
      <c r="AN53" s="130"/>
      <c r="AO53" s="130"/>
      <c r="AP53" s="130"/>
      <c r="AQ53" s="130"/>
      <c r="AR53" s="130"/>
      <c r="AS53" s="130"/>
      <c r="AT53" s="130"/>
      <c r="AU53" s="130"/>
      <c r="AV53" s="130"/>
      <c r="AW53" s="130"/>
      <c r="AX53" s="130"/>
    </row>
    <row r="54" spans="1:50" ht="20" customHeight="1" x14ac:dyDescent="0.2">
      <c r="A54" s="198"/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3" t="s">
        <v>247</v>
      </c>
      <c r="Q54" s="130"/>
      <c r="R54" s="130"/>
      <c r="S54" s="130"/>
      <c r="T54" s="130"/>
      <c r="V54" s="130"/>
      <c r="W54" s="130"/>
      <c r="X54" s="134">
        <v>-0.24867960577830672</v>
      </c>
      <c r="Y54" s="135">
        <v>0.98926855064928532</v>
      </c>
      <c r="Z54" s="135">
        <v>0.19293955294415355</v>
      </c>
      <c r="AA54" s="135">
        <v>0.77893791254609823</v>
      </c>
      <c r="AB54" s="135">
        <v>0.88624332519248128</v>
      </c>
      <c r="AC54" s="135">
        <v>-0.87859024479985237</v>
      </c>
      <c r="AD54" s="135">
        <v>0.36183613305911422</v>
      </c>
      <c r="AE54" s="135">
        <v>0.43723615352064371</v>
      </c>
      <c r="AF54" s="135">
        <v>-0.10524276783689857</v>
      </c>
      <c r="AG54" s="136">
        <v>-0.2211772371083498</v>
      </c>
      <c r="AH54" s="130"/>
      <c r="AI54" s="130"/>
      <c r="AJ54" s="130"/>
      <c r="AK54" s="130"/>
      <c r="AL54" s="130"/>
      <c r="AM54" s="130"/>
      <c r="AN54" s="130"/>
      <c r="AO54" s="130"/>
      <c r="AP54" s="130"/>
      <c r="AQ54" s="130"/>
      <c r="AR54" s="130"/>
      <c r="AS54" s="130"/>
      <c r="AT54" s="130"/>
      <c r="AU54" s="130"/>
      <c r="AV54" s="130"/>
      <c r="AW54" s="130"/>
      <c r="AX54" s="130"/>
    </row>
    <row r="55" spans="1:50" ht="20" customHeight="1" x14ac:dyDescent="0.2">
      <c r="A55" s="198"/>
      <c r="B55" s="130"/>
      <c r="C55" s="130"/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8" cm="1">
        <f t="array" ref="P55:R58">EXP(-Blueprint!P42:R45)</f>
        <v>0.73808486728282197</v>
      </c>
      <c r="Q55" s="138">
        <v>1.0250237109068356</v>
      </c>
      <c r="R55" s="138">
        <v>1.0327721845948337</v>
      </c>
      <c r="S55" s="130"/>
      <c r="T55" s="130"/>
      <c r="V55" s="130"/>
      <c r="W55" s="130"/>
      <c r="X55" s="130"/>
      <c r="Y55" s="130"/>
      <c r="Z55" s="130"/>
      <c r="AA55" s="130"/>
      <c r="AB55" s="130"/>
      <c r="AC55" s="130"/>
      <c r="AD55" s="130"/>
      <c r="AE55" s="130"/>
      <c r="AF55" s="130"/>
      <c r="AG55" s="130"/>
      <c r="AH55" s="130"/>
      <c r="AI55" s="130"/>
      <c r="AJ55" s="130"/>
      <c r="AK55" s="130"/>
      <c r="AL55" s="130"/>
      <c r="AM55" s="130"/>
      <c r="AN55" s="130"/>
      <c r="AO55" s="130"/>
      <c r="AP55" s="130"/>
      <c r="AQ55" s="130"/>
      <c r="AR55" s="130"/>
      <c r="AS55" s="130"/>
      <c r="AT55" s="130"/>
      <c r="AU55" s="130"/>
      <c r="AV55" s="130"/>
      <c r="AW55" s="130"/>
      <c r="AX55" s="130"/>
    </row>
    <row r="56" spans="1:50" ht="20" customHeight="1" x14ac:dyDescent="0.2">
      <c r="A56" s="198"/>
      <c r="B56" s="130"/>
      <c r="C56" s="130"/>
      <c r="D56" s="130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9">
        <v>1.0320674472865059</v>
      </c>
      <c r="Q56" s="139">
        <v>1.0714290896142291</v>
      </c>
      <c r="R56" s="139">
        <v>0.85287228321646236</v>
      </c>
      <c r="S56" s="130"/>
      <c r="T56" s="130"/>
      <c r="V56" s="130"/>
      <c r="W56" s="130"/>
      <c r="X56" s="130"/>
      <c r="Y56" s="130"/>
      <c r="Z56" s="130"/>
      <c r="AA56" s="130"/>
      <c r="AB56" s="130"/>
      <c r="AC56" s="130"/>
      <c r="AD56" s="130"/>
      <c r="AE56" s="130"/>
      <c r="AF56" s="130"/>
      <c r="AG56" s="130"/>
      <c r="AH56" s="130"/>
      <c r="AI56" s="130"/>
      <c r="AJ56" s="130"/>
      <c r="AK56" s="130"/>
      <c r="AL56" s="130"/>
      <c r="AM56" s="130"/>
      <c r="AN56" s="130"/>
      <c r="AO56" s="130"/>
      <c r="AP56" s="130"/>
      <c r="AQ56" s="130"/>
      <c r="AR56" s="130"/>
      <c r="AS56" s="130"/>
      <c r="AT56" s="130"/>
      <c r="AU56" s="130"/>
      <c r="AV56" s="130"/>
      <c r="AW56" s="130"/>
      <c r="AX56" s="130"/>
    </row>
    <row r="57" spans="1:50" ht="20" customHeight="1" x14ac:dyDescent="0.2">
      <c r="A57" s="198"/>
      <c r="B57" s="130"/>
      <c r="C57" s="130"/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9">
        <v>1.0427747588042682</v>
      </c>
      <c r="Q57" s="139">
        <v>1.0561993475931288</v>
      </c>
      <c r="R57" s="139">
        <v>1.1825499281793892</v>
      </c>
      <c r="S57" s="130"/>
      <c r="T57" s="130"/>
      <c r="V57" s="130"/>
      <c r="W57" s="130"/>
      <c r="X57" s="130"/>
      <c r="Y57" s="130"/>
      <c r="Z57" s="130"/>
      <c r="AA57" s="130"/>
      <c r="AB57" s="130"/>
      <c r="AC57" s="130"/>
      <c r="AD57" s="130"/>
      <c r="AE57" s="130"/>
      <c r="AF57" s="130"/>
      <c r="AG57" s="130"/>
      <c r="AH57" s="130"/>
      <c r="AI57" s="130"/>
      <c r="AJ57" s="130"/>
      <c r="AK57" s="130"/>
      <c r="AL57" s="130"/>
      <c r="AM57" s="130"/>
      <c r="AN57" s="130"/>
      <c r="AO57" s="130"/>
      <c r="AP57" s="130"/>
      <c r="AQ57" s="130"/>
      <c r="AR57" s="130"/>
      <c r="AS57" s="130"/>
      <c r="AT57" s="130"/>
      <c r="AU57" s="130"/>
      <c r="AV57" s="130"/>
      <c r="AW57" s="130"/>
      <c r="AX57" s="130"/>
    </row>
    <row r="58" spans="1:50" ht="20" customHeight="1" x14ac:dyDescent="0.2">
      <c r="A58" s="198"/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40">
        <v>1.0228250424774445</v>
      </c>
      <c r="Q58" s="140">
        <v>0.44415715671103606</v>
      </c>
      <c r="R58" s="140">
        <v>0.26638251614074054</v>
      </c>
      <c r="S58" s="130"/>
      <c r="T58" s="130"/>
      <c r="V58" s="130"/>
      <c r="W58" s="130"/>
      <c r="X58" s="130"/>
      <c r="Y58" s="130"/>
      <c r="Z58" s="130"/>
      <c r="AA58" s="130"/>
      <c r="AB58" s="130"/>
      <c r="AC58" s="130"/>
      <c r="AD58" s="130"/>
      <c r="AE58" s="130"/>
      <c r="AF58" s="130"/>
      <c r="AG58" s="130"/>
      <c r="AH58" s="130"/>
      <c r="AI58" s="130"/>
      <c r="AJ58" s="130"/>
      <c r="AK58" s="130"/>
      <c r="AL58" s="130"/>
      <c r="AM58" s="130"/>
      <c r="AN58" s="130"/>
      <c r="AO58" s="130"/>
      <c r="AP58" s="130"/>
      <c r="AQ58" s="130"/>
      <c r="AR58" s="130"/>
      <c r="AS58" s="130"/>
      <c r="AT58" s="130"/>
      <c r="AU58" s="130"/>
      <c r="AV58" s="130"/>
      <c r="AW58" s="130"/>
      <c r="AX58" s="130"/>
    </row>
    <row r="59" spans="1:50" ht="20" customHeight="1" x14ac:dyDescent="0.2">
      <c r="A59" s="198"/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3" t="s">
        <v>248</v>
      </c>
      <c r="Q59" s="130"/>
      <c r="R59" s="130"/>
      <c r="S59" s="130"/>
      <c r="T59" s="130"/>
      <c r="V59" s="130"/>
      <c r="W59" s="130"/>
      <c r="X59" s="130"/>
      <c r="Y59" s="130"/>
      <c r="Z59" s="130"/>
      <c r="AA59" s="130"/>
      <c r="AB59" s="130"/>
      <c r="AC59" s="130"/>
      <c r="AD59" s="130"/>
      <c r="AE59" s="130"/>
      <c r="AF59" s="130"/>
      <c r="AG59" s="130"/>
      <c r="AH59" s="130"/>
      <c r="AI59" s="130"/>
      <c r="AJ59" s="130"/>
      <c r="AK59" s="130"/>
      <c r="AL59" s="130"/>
      <c r="AM59" s="130"/>
      <c r="AN59" s="130"/>
      <c r="AO59" s="130"/>
      <c r="AP59" s="130"/>
      <c r="AQ59" s="130"/>
      <c r="AR59" s="130"/>
      <c r="AS59" s="130"/>
      <c r="AT59" s="130"/>
      <c r="AU59" s="130"/>
      <c r="AV59" s="130"/>
      <c r="AW59" s="130"/>
      <c r="AX59" s="130"/>
    </row>
    <row r="60" spans="1:50" ht="20" customHeight="1" x14ac:dyDescent="0.2">
      <c r="A60" s="198"/>
      <c r="B60" s="130"/>
      <c r="C60" s="130"/>
      <c r="D60" s="130"/>
      <c r="E60" s="130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138" cm="1">
        <f t="array" ref="P60:R64">_xlfn.VSTACK((Blueprint!P50:R53-Blueprint!P55:R58)/(Blueprint!P50:R53+Blueprint!P55:R58), _xlfn.SEQUENCE(1,3)*0+1)</f>
        <v>0.2946917297891955</v>
      </c>
      <c r="Q60" s="138">
        <v>-2.4710713457997947E-2</v>
      </c>
      <c r="R60" s="138">
        <v>-3.2235455634926947E-2</v>
      </c>
      <c r="S60" s="130"/>
      <c r="T60" s="130"/>
      <c r="V60" s="130"/>
      <c r="W60" s="130"/>
      <c r="X60" s="130"/>
      <c r="Y60" s="130"/>
      <c r="Z60" s="130"/>
      <c r="AA60" s="130"/>
      <c r="AB60" s="130"/>
      <c r="AC60" s="130"/>
      <c r="AD60" s="130"/>
      <c r="AE60" s="130"/>
      <c r="AF60" s="130"/>
      <c r="AG60" s="130"/>
      <c r="AH60" s="130"/>
      <c r="AI60" s="130"/>
      <c r="AJ60" s="130"/>
      <c r="AK60" s="130"/>
      <c r="AL60" s="130"/>
      <c r="AM60" s="130"/>
      <c r="AN60" s="130"/>
      <c r="AO60" s="130"/>
      <c r="AP60" s="130"/>
      <c r="AQ60" s="130"/>
      <c r="AR60" s="130"/>
      <c r="AS60" s="130"/>
      <c r="AT60" s="130"/>
      <c r="AU60" s="130"/>
      <c r="AV60" s="130"/>
      <c r="AW60" s="130"/>
      <c r="AX60" s="130"/>
    </row>
    <row r="61" spans="1:50" ht="20" customHeight="1" x14ac:dyDescent="0.2">
      <c r="A61" s="198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9">
        <v>-3.155354271834996E-2</v>
      </c>
      <c r="Q61" s="139">
        <v>-6.8884091796272917E-2</v>
      </c>
      <c r="R61" s="139">
        <v>0.1578153688260234</v>
      </c>
      <c r="S61" s="130"/>
      <c r="T61" s="130"/>
      <c r="V61" s="130"/>
      <c r="W61" s="130"/>
      <c r="X61" s="130"/>
      <c r="Y61" s="130"/>
      <c r="Z61" s="130"/>
      <c r="AA61" s="130"/>
      <c r="AB61" s="130"/>
      <c r="AC61" s="130"/>
      <c r="AD61" s="130"/>
      <c r="AE61" s="130"/>
      <c r="AF61" s="130"/>
      <c r="AG61" s="130"/>
      <c r="AH61" s="130"/>
      <c r="AI61" s="130"/>
      <c r="AJ61" s="130"/>
      <c r="AK61" s="130"/>
      <c r="AL61" s="130"/>
      <c r="AM61" s="130"/>
      <c r="AN61" s="130"/>
      <c r="AO61" s="130"/>
      <c r="AP61" s="130"/>
      <c r="AQ61" s="130"/>
      <c r="AR61" s="130"/>
      <c r="AS61" s="130"/>
      <c r="AT61" s="130"/>
      <c r="AU61" s="130"/>
      <c r="AV61" s="130"/>
      <c r="AW61" s="130"/>
      <c r="AX61" s="130"/>
    </row>
    <row r="62" spans="1:50" ht="20" customHeight="1" x14ac:dyDescent="0.2">
      <c r="A62" s="198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9">
        <v>-4.1860720706517807E-2</v>
      </c>
      <c r="Q62" s="139">
        <v>-5.462252185944981E-2</v>
      </c>
      <c r="R62" s="139">
        <v>-0.16611920051653628</v>
      </c>
      <c r="S62" s="130"/>
      <c r="T62" s="130"/>
      <c r="V62" s="130"/>
      <c r="W62" s="130"/>
      <c r="X62" s="130"/>
      <c r="Y62" s="130"/>
      <c r="Z62" s="130"/>
      <c r="AA62" s="130"/>
      <c r="AB62" s="130"/>
      <c r="AC62" s="130"/>
      <c r="AD62" s="130"/>
      <c r="AE62" s="130"/>
      <c r="AF62" s="130"/>
      <c r="AG62" s="130"/>
      <c r="AH62" s="130"/>
      <c r="AI62" s="130"/>
      <c r="AJ62" s="130"/>
      <c r="AK62" s="130"/>
      <c r="AL62" s="130"/>
      <c r="AM62" s="130"/>
      <c r="AN62" s="130"/>
      <c r="AO62" s="130"/>
      <c r="AP62" s="130"/>
      <c r="AQ62" s="130"/>
      <c r="AR62" s="130"/>
      <c r="AS62" s="130"/>
      <c r="AT62" s="130"/>
      <c r="AU62" s="130"/>
      <c r="AV62" s="130"/>
      <c r="AW62" s="130"/>
      <c r="AX62" s="130"/>
    </row>
    <row r="63" spans="1:50" ht="20" customHeight="1" x14ac:dyDescent="0.2">
      <c r="A63" s="198"/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40">
        <v>-2.2564617519965916E-2</v>
      </c>
      <c r="Q63" s="140">
        <v>0.67045919389571129</v>
      </c>
      <c r="R63" s="140">
        <v>0.86748399859317726</v>
      </c>
      <c r="S63" s="130"/>
      <c r="T63" s="130"/>
      <c r="V63" s="130"/>
      <c r="W63" s="130"/>
      <c r="X63" s="130"/>
      <c r="Y63" s="130"/>
      <c r="Z63" s="130"/>
      <c r="AA63" s="130"/>
      <c r="AB63" s="130"/>
      <c r="AC63" s="130"/>
      <c r="AD63" s="130"/>
      <c r="AE63" s="130"/>
      <c r="AF63" s="130"/>
      <c r="AG63" s="130"/>
      <c r="AH63" s="130"/>
      <c r="AI63" s="130"/>
      <c r="AJ63" s="130"/>
      <c r="AK63" s="130"/>
      <c r="AL63" s="130"/>
      <c r="AM63" s="130"/>
      <c r="AN63" s="130"/>
      <c r="AO63" s="130"/>
      <c r="AP63" s="130"/>
      <c r="AQ63" s="130"/>
      <c r="AR63" s="130"/>
      <c r="AS63" s="130"/>
      <c r="AT63" s="130"/>
      <c r="AU63" s="130"/>
      <c r="AV63" s="130"/>
      <c r="AW63" s="130"/>
      <c r="AX63" s="130"/>
    </row>
    <row r="64" spans="1:50" ht="20" customHeight="1" x14ac:dyDescent="0.2">
      <c r="A64" s="198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>
        <v>1</v>
      </c>
      <c r="Q64" s="130">
        <v>1</v>
      </c>
      <c r="R64" s="130">
        <v>1</v>
      </c>
      <c r="S64" s="130"/>
      <c r="T64" s="141" t="str">
        <f>HYPERLINK("#Blueprint!torchcode", "&lt;/&gt;")</f>
        <v>&lt;/&gt;</v>
      </c>
      <c r="V64" s="141" t="str">
        <f>HYPERLINK("#Blueprint!torchcode", "&lt;/&gt;")</f>
        <v>&lt;/&gt;</v>
      </c>
      <c r="W64" s="130"/>
      <c r="X64" s="130"/>
      <c r="Y64" s="130"/>
      <c r="Z64" s="130"/>
      <c r="AA64" s="130"/>
      <c r="AB64" s="130"/>
      <c r="AC64" s="130"/>
      <c r="AD64" s="130"/>
      <c r="AE64" s="130"/>
      <c r="AF64" s="130"/>
      <c r="AG64" s="130"/>
      <c r="AH64" s="130"/>
      <c r="AI64" s="130"/>
      <c r="AJ64" s="130"/>
      <c r="AK64" s="130"/>
      <c r="AL64" s="130"/>
      <c r="AM64" s="130"/>
      <c r="AN64" s="130"/>
      <c r="AO64" s="130"/>
      <c r="AP64" s="130"/>
      <c r="AQ64" s="130"/>
      <c r="AR64" s="130"/>
      <c r="AS64" s="130"/>
      <c r="AT64" s="130"/>
      <c r="AU64" s="130"/>
      <c r="AV64" s="130"/>
      <c r="AW64" s="130"/>
      <c r="AX64" s="130"/>
    </row>
    <row r="65" spans="1:56" ht="20" customHeight="1" x14ac:dyDescent="0.2">
      <c r="A65" s="198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42" t="str">
        <f>HYPERLINK("#X", "▲")</f>
        <v>▲</v>
      </c>
      <c r="V65" s="142" t="str">
        <f>HYPERLINK("#X", "▲")</f>
        <v>▲</v>
      </c>
      <c r="W65" s="130"/>
      <c r="X65" s="130"/>
      <c r="Y65" s="130"/>
      <c r="Z65" s="130"/>
      <c r="AA65" s="130"/>
      <c r="AB65" s="130"/>
      <c r="AC65" s="130"/>
      <c r="AD65" s="130"/>
      <c r="AE65" s="130"/>
      <c r="AF65" s="130"/>
      <c r="AG65" s="130"/>
      <c r="AH65" s="130"/>
      <c r="AI65" s="130"/>
      <c r="AJ65" s="130"/>
      <c r="AK65" s="130"/>
      <c r="AL65" s="130"/>
      <c r="AM65" s="130"/>
      <c r="AN65" s="130"/>
      <c r="AO65" s="130"/>
      <c r="AP65" s="130"/>
      <c r="AQ65" s="130"/>
      <c r="AR65" s="130"/>
      <c r="AS65" s="130"/>
      <c r="AT65" s="130"/>
      <c r="AU65" s="130"/>
      <c r="AV65" s="130"/>
      <c r="AW65" s="130"/>
      <c r="AX65" s="130"/>
    </row>
    <row r="66" spans="1:56" ht="20" customHeight="1" x14ac:dyDescent="0.2">
      <c r="P66" s="143" t="s">
        <v>117</v>
      </c>
      <c r="Q66" s="143" t="s">
        <v>117</v>
      </c>
      <c r="R66" s="143" t="s">
        <v>117</v>
      </c>
      <c r="AI66" s="160" t="s">
        <v>128</v>
      </c>
      <c r="AJ66" s="160" t="s">
        <v>128</v>
      </c>
      <c r="AK66" s="160" t="s">
        <v>128</v>
      </c>
    </row>
    <row r="67" spans="1:56" ht="20" customHeight="1" x14ac:dyDescent="0.2">
      <c r="A67" s="199" t="s">
        <v>121</v>
      </c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44" t="s">
        <v>119</v>
      </c>
      <c r="Q67" s="123"/>
      <c r="R67" s="123"/>
      <c r="S67" s="123"/>
      <c r="T67" s="123"/>
      <c r="V67" s="123"/>
      <c r="W67" s="123"/>
      <c r="X67" s="123"/>
      <c r="Y67" s="123"/>
      <c r="Z67" s="123"/>
      <c r="AA67" s="123"/>
      <c r="AB67" s="123"/>
      <c r="AC67" s="123"/>
      <c r="AD67" s="123"/>
      <c r="AE67" s="123"/>
      <c r="AF67" s="123"/>
      <c r="AG67" s="123"/>
      <c r="AH67" s="123"/>
      <c r="AI67" s="144" t="s">
        <v>129</v>
      </c>
      <c r="AJ67" s="123"/>
      <c r="AK67" s="123"/>
      <c r="AL67" s="123"/>
      <c r="AM67" s="123"/>
      <c r="AN67" s="123"/>
      <c r="AO67" s="123"/>
      <c r="AP67" s="123"/>
      <c r="AQ67" s="144" t="s">
        <v>130</v>
      </c>
      <c r="AR67" s="123"/>
      <c r="AS67" s="123"/>
      <c r="AT67" s="123"/>
      <c r="AU67" s="123"/>
      <c r="AV67" s="123"/>
      <c r="AW67" s="123"/>
      <c r="AX67" s="123"/>
      <c r="AZ67" s="117" t="s">
        <v>132</v>
      </c>
    </row>
    <row r="68" spans="1:56" ht="20" customHeight="1" x14ac:dyDescent="0.2">
      <c r="A68" s="199"/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52" t="s">
        <v>118</v>
      </c>
      <c r="O68" s="123"/>
      <c r="P68" s="145" t="s">
        <v>120</v>
      </c>
      <c r="Q68" s="123"/>
      <c r="R68" s="123"/>
      <c r="S68" s="123"/>
      <c r="T68" s="123"/>
      <c r="V68" s="123"/>
      <c r="W68" s="123"/>
      <c r="X68" s="123"/>
      <c r="Y68" s="123"/>
      <c r="Z68" s="123"/>
      <c r="AA68" s="123"/>
      <c r="AB68" s="123"/>
      <c r="AC68" s="123"/>
      <c r="AD68" s="123"/>
      <c r="AE68" s="123"/>
      <c r="AF68" s="123"/>
      <c r="AG68" s="161" t="s">
        <v>298</v>
      </c>
      <c r="AH68" s="123"/>
      <c r="AI68" s="145" t="s">
        <v>299</v>
      </c>
      <c r="AJ68" s="123"/>
      <c r="AK68" s="123"/>
      <c r="AL68" s="123"/>
      <c r="AM68" s="123"/>
      <c r="AN68" s="123"/>
      <c r="AO68" s="123"/>
      <c r="AP68" s="123"/>
      <c r="AQ68" s="161" t="s">
        <v>131</v>
      </c>
      <c r="AR68" s="123"/>
      <c r="AS68" s="123"/>
      <c r="AT68" s="123"/>
      <c r="AU68" s="123"/>
      <c r="AV68" s="123"/>
      <c r="AW68" s="123"/>
      <c r="AX68" s="123"/>
      <c r="AZ68" s="129" t="s">
        <v>133</v>
      </c>
    </row>
    <row r="69" spans="1:56" ht="20" customHeight="1" x14ac:dyDescent="0.2">
      <c r="A69" s="199"/>
      <c r="B69" s="123"/>
      <c r="C69" s="123"/>
      <c r="D69" s="123"/>
      <c r="E69" s="123"/>
      <c r="F69" s="123"/>
      <c r="G69" s="123"/>
      <c r="H69" s="123"/>
      <c r="I69" s="123"/>
      <c r="J69" s="153">
        <v>-0.49530965043231845</v>
      </c>
      <c r="K69" s="154">
        <v>-0.82374990917742252</v>
      </c>
      <c r="L69" s="154">
        <v>0.15456239646300673</v>
      </c>
      <c r="M69" s="154">
        <v>-0.55489146802574396</v>
      </c>
      <c r="N69" s="155">
        <v>-0.24867960577830672</v>
      </c>
      <c r="O69" s="156" t="s">
        <v>113</v>
      </c>
      <c r="P69" s="146" cm="1">
        <f t="array" ref="P69:R78">MMULT(Blueprint!J69:N78,Blueprint!P60:R64)</f>
        <v>-0.36260021506599638</v>
      </c>
      <c r="Q69" s="146">
        <v>-0.56017156080414121</v>
      </c>
      <c r="R69" s="146">
        <v>-0.86974872045204787</v>
      </c>
      <c r="S69" s="123"/>
      <c r="T69" s="123"/>
      <c r="V69" s="123"/>
      <c r="W69" s="123"/>
      <c r="X69" s="123"/>
      <c r="Y69" s="123"/>
      <c r="Z69" s="123"/>
      <c r="AA69" s="123"/>
      <c r="AB69" s="123"/>
      <c r="AC69" s="123"/>
      <c r="AD69" s="123"/>
      <c r="AE69" s="146" cm="1">
        <f t="array" ref="AE69:AG78">_xlfn.DROP(1-(X_4*X_4),-1)</f>
        <v>0.87924214087047203</v>
      </c>
      <c r="AF69" s="146">
        <v>0.74182960075462767</v>
      </c>
      <c r="AG69" s="146">
        <v>0.50825343073935036</v>
      </c>
      <c r="AH69" s="156" t="s">
        <v>113</v>
      </c>
      <c r="AI69" s="146" cm="1">
        <f t="array" ref="AI69:AK78">G_4*MaskTanh_4</f>
        <v>-7.5957732346854656E-2</v>
      </c>
      <c r="AJ69" s="146">
        <v>2.5384148309127955E-2</v>
      </c>
      <c r="AK69" s="146">
        <v>-4.5810211442549133E-2</v>
      </c>
      <c r="AL69" s="156" t="s">
        <v>113</v>
      </c>
      <c r="AM69" s="153" cm="1">
        <f t="array" ref="AM69:AQ78">MMULT(G_3, TRANSPOSE(X_2))</f>
        <v>-2.1534662912818598E-2</v>
      </c>
      <c r="AN69" s="154">
        <v>-6.5813838647047138E-3</v>
      </c>
      <c r="AO69" s="154">
        <v>9.4030549237030022E-3</v>
      </c>
      <c r="AP69" s="154">
        <v>-2.1006632607423616E-2</v>
      </c>
      <c r="AQ69" s="155">
        <v>-9.6383795480275841E-2</v>
      </c>
      <c r="AR69" s="123"/>
      <c r="AS69" s="123"/>
      <c r="AT69" s="123"/>
      <c r="AU69" s="123"/>
      <c r="AV69" s="123"/>
      <c r="AW69" s="123"/>
      <c r="AX69" s="123"/>
      <c r="AY69" s="128" t="s">
        <v>113</v>
      </c>
      <c r="AZ69" s="125" cm="1">
        <f t="array" ref="AZ69:BD78">W_3 - lrate * dW_3</f>
        <v>-0.49315618414103657</v>
      </c>
      <c r="BA69" s="126">
        <v>-0.82309177079095208</v>
      </c>
      <c r="BB69" s="126">
        <v>0.15362209097063642</v>
      </c>
      <c r="BC69" s="126">
        <v>-0.55279080476500164</v>
      </c>
      <c r="BD69" s="127">
        <v>-0.23904122623027912</v>
      </c>
    </row>
    <row r="70" spans="1:56" ht="20" customHeight="1" x14ac:dyDescent="0.2">
      <c r="A70" s="199"/>
      <c r="B70" s="123"/>
      <c r="C70" s="123"/>
      <c r="D70" s="123"/>
      <c r="E70" s="123"/>
      <c r="F70" s="123"/>
      <c r="G70" s="123"/>
      <c r="H70" s="123"/>
      <c r="I70" s="123"/>
      <c r="J70" s="153">
        <v>-0.94867219030857086</v>
      </c>
      <c r="K70" s="154">
        <v>-0.10543742822483182</v>
      </c>
      <c r="L70" s="154">
        <v>-0.7630799924954772</v>
      </c>
      <c r="M70" s="154">
        <v>0.74762741150334477</v>
      </c>
      <c r="N70" s="155">
        <v>0.98926855064928532</v>
      </c>
      <c r="O70" s="156" t="s">
        <v>113</v>
      </c>
      <c r="P70" s="147">
        <v>0.72810277813452262</v>
      </c>
      <c r="Q70" s="147">
        <v>1.5629089040156368</v>
      </c>
      <c r="R70" s="147">
        <v>1.7785268390009985</v>
      </c>
      <c r="S70" s="123"/>
      <c r="T70" s="123"/>
      <c r="V70" s="123"/>
      <c r="W70" s="123"/>
      <c r="X70" s="123"/>
      <c r="Y70" s="123"/>
      <c r="Z70" s="123"/>
      <c r="AA70" s="123"/>
      <c r="AB70" s="123"/>
      <c r="AC70" s="123"/>
      <c r="AD70" s="123"/>
      <c r="AE70" s="147">
        <v>0.61323631438172721</v>
      </c>
      <c r="AF70" s="147">
        <v>0.16114466243904968</v>
      </c>
      <c r="AG70" s="147">
        <v>0.10785081031052501</v>
      </c>
      <c r="AH70" s="156" t="s">
        <v>113</v>
      </c>
      <c r="AI70" s="147">
        <v>-7.2645779003699992E-2</v>
      </c>
      <c r="AJ70" s="147">
        <v>2.8829325143130653E-2</v>
      </c>
      <c r="AK70" s="147">
        <v>-2.5194686328556769E-2</v>
      </c>
      <c r="AL70" s="156" t="s">
        <v>113</v>
      </c>
      <c r="AM70" s="153">
        <v>-2.1308341275903236E-2</v>
      </c>
      <c r="AN70" s="154">
        <v>-3.6697589038801087E-3</v>
      </c>
      <c r="AO70" s="154">
        <v>5.6515953727222174E-3</v>
      </c>
      <c r="AP70" s="154">
        <v>-8.8787692591808104E-4</v>
      </c>
      <c r="AQ70" s="155">
        <v>-6.9011140189126116E-2</v>
      </c>
      <c r="AR70" s="123"/>
      <c r="AS70" s="123"/>
      <c r="AT70" s="123"/>
      <c r="AU70" s="123"/>
      <c r="AV70" s="123"/>
      <c r="AW70" s="123"/>
      <c r="AX70" s="123"/>
      <c r="AY70" s="128" t="s">
        <v>113</v>
      </c>
      <c r="AZ70" s="125">
        <v>-0.94654135618098056</v>
      </c>
      <c r="BA70" s="126">
        <v>-0.10507045233444381</v>
      </c>
      <c r="BB70" s="126">
        <v>-0.76364515203274941</v>
      </c>
      <c r="BC70" s="126">
        <v>0.74771619919593657</v>
      </c>
      <c r="BD70" s="127">
        <v>0.9961696646681979</v>
      </c>
    </row>
    <row r="71" spans="1:56" ht="20" customHeight="1" x14ac:dyDescent="0.2">
      <c r="A71" s="199"/>
      <c r="B71" s="123"/>
      <c r="C71" s="123"/>
      <c r="D71" s="123"/>
      <c r="E71" s="123"/>
      <c r="F71" s="123"/>
      <c r="G71" s="123"/>
      <c r="H71" s="123"/>
      <c r="I71" s="123"/>
      <c r="J71" s="153">
        <v>0.70640544733032584</v>
      </c>
      <c r="K71" s="154">
        <v>-6.4654368907213211E-4</v>
      </c>
      <c r="L71" s="154">
        <v>0.28400189289823174</v>
      </c>
      <c r="M71" s="154">
        <v>0.72291237488389015</v>
      </c>
      <c r="N71" s="155">
        <v>0.19293955294415355</v>
      </c>
      <c r="O71" s="156" t="s">
        <v>113</v>
      </c>
      <c r="P71" s="147">
        <v>0.37293103173590963</v>
      </c>
      <c r="Q71" s="147">
        <v>0.64469865544376181</v>
      </c>
      <c r="R71" s="147">
        <v>0.7500029671590428</v>
      </c>
      <c r="S71" s="123"/>
      <c r="T71" s="123"/>
      <c r="V71" s="123"/>
      <c r="W71" s="123"/>
      <c r="X71" s="123"/>
      <c r="Y71" s="123"/>
      <c r="Z71" s="123"/>
      <c r="AA71" s="123"/>
      <c r="AB71" s="123"/>
      <c r="AC71" s="123"/>
      <c r="AD71" s="123"/>
      <c r="AE71" s="147">
        <v>0.87287010678225707</v>
      </c>
      <c r="AF71" s="147">
        <v>0.67727338758884659</v>
      </c>
      <c r="AG71" s="147">
        <v>0.59658355964557575</v>
      </c>
      <c r="AH71" s="156" t="s">
        <v>113</v>
      </c>
      <c r="AI71" s="147">
        <v>4.5266930926208759E-2</v>
      </c>
      <c r="AJ71" s="147">
        <v>7.4302106712577462E-2</v>
      </c>
      <c r="AK71" s="147">
        <v>6.9107712548940783E-2</v>
      </c>
      <c r="AL71" s="156" t="s">
        <v>113</v>
      </c>
      <c r="AM71" s="153">
        <v>9.2760135066897367E-3</v>
      </c>
      <c r="AN71" s="154">
        <v>4.3596939664795175E-3</v>
      </c>
      <c r="AO71" s="154">
        <v>-1.7433592759010838E-2</v>
      </c>
      <c r="AP71" s="154">
        <v>0.10874493440419823</v>
      </c>
      <c r="AQ71" s="155">
        <v>0.188676750187727</v>
      </c>
      <c r="AR71" s="123"/>
      <c r="AS71" s="123"/>
      <c r="AT71" s="123"/>
      <c r="AU71" s="123"/>
      <c r="AV71" s="123"/>
      <c r="AW71" s="123"/>
      <c r="AX71" s="123"/>
      <c r="AY71" s="128" t="s">
        <v>113</v>
      </c>
      <c r="AZ71" s="125">
        <v>0.7054778459796569</v>
      </c>
      <c r="BA71" s="126">
        <v>-1.0825130857200838E-3</v>
      </c>
      <c r="BB71" s="126">
        <v>0.28574525217413282</v>
      </c>
      <c r="BC71" s="126">
        <v>0.71203788144347036</v>
      </c>
      <c r="BD71" s="127">
        <v>0.17407187792538084</v>
      </c>
    </row>
    <row r="72" spans="1:56" ht="20" customHeight="1" x14ac:dyDescent="0.2">
      <c r="A72" s="199"/>
      <c r="B72" s="123"/>
      <c r="C72" s="123"/>
      <c r="D72" s="123"/>
      <c r="E72" s="123"/>
      <c r="F72" s="123"/>
      <c r="G72" s="123"/>
      <c r="H72" s="123"/>
      <c r="I72" s="123"/>
      <c r="J72" s="153">
        <v>-0.81849968712776899</v>
      </c>
      <c r="K72" s="154">
        <v>-0.71958040399476886</v>
      </c>
      <c r="L72" s="154">
        <v>0.90017655305564404</v>
      </c>
      <c r="M72" s="154">
        <v>0.84911089157685637</v>
      </c>
      <c r="N72" s="155">
        <v>0.77893791254609823</v>
      </c>
      <c r="O72" s="156" t="s">
        <v>113</v>
      </c>
      <c r="P72" s="147">
        <v>0.50359623315674984</v>
      </c>
      <c r="Q72" s="147">
        <v>1.3688555568317899</v>
      </c>
      <c r="R72" s="147">
        <v>1.278815278198068</v>
      </c>
      <c r="S72" s="123"/>
      <c r="T72" s="123"/>
      <c r="V72" s="123"/>
      <c r="W72" s="123"/>
      <c r="X72" s="123"/>
      <c r="Y72" s="123"/>
      <c r="Z72" s="123"/>
      <c r="AA72" s="123"/>
      <c r="AB72" s="123"/>
      <c r="AC72" s="123"/>
      <c r="AD72" s="123"/>
      <c r="AE72" s="147">
        <v>0.78383014352563674</v>
      </c>
      <c r="AF72" s="147">
        <v>0.22835878093545692</v>
      </c>
      <c r="AG72" s="147">
        <v>0.26697473706237773</v>
      </c>
      <c r="AH72" s="156" t="s">
        <v>113</v>
      </c>
      <c r="AI72" s="147">
        <v>-7.2789455508651985E-2</v>
      </c>
      <c r="AJ72" s="147">
        <v>1.81043825870538E-2</v>
      </c>
      <c r="AK72" s="147">
        <v>-5.5510574147629825E-2</v>
      </c>
      <c r="AL72" s="156" t="s">
        <v>113</v>
      </c>
      <c r="AM72" s="153">
        <v>-2.0108414114495751E-2</v>
      </c>
      <c r="AN72" s="154">
        <v>-7.7107604910562951E-3</v>
      </c>
      <c r="AO72" s="154">
        <v>1.127948423143217E-2</v>
      </c>
      <c r="AP72" s="154">
        <v>-3.4373818847454024E-2</v>
      </c>
      <c r="AQ72" s="155">
        <v>-0.11019564706922802</v>
      </c>
      <c r="AR72" s="123"/>
      <c r="AS72" s="123"/>
      <c r="AT72" s="123"/>
      <c r="AU72" s="123"/>
      <c r="AV72" s="123"/>
      <c r="AW72" s="123"/>
      <c r="AX72" s="123"/>
      <c r="AY72" s="128" t="s">
        <v>113</v>
      </c>
      <c r="AZ72" s="125">
        <v>-0.81648884571631941</v>
      </c>
      <c r="BA72" s="126">
        <v>-0.71880932794566321</v>
      </c>
      <c r="BB72" s="126">
        <v>0.8990486046325008</v>
      </c>
      <c r="BC72" s="126">
        <v>0.85254827346160178</v>
      </c>
      <c r="BD72" s="127">
        <v>0.78995747725302101</v>
      </c>
    </row>
    <row r="73" spans="1:56" ht="20" customHeight="1" x14ac:dyDescent="0.2">
      <c r="A73" s="199"/>
      <c r="B73" s="123"/>
      <c r="C73" s="123"/>
      <c r="D73" s="123"/>
      <c r="E73" s="123"/>
      <c r="F73" s="123"/>
      <c r="G73" s="123"/>
      <c r="H73" s="123"/>
      <c r="I73" s="123"/>
      <c r="J73" s="153">
        <v>0.10101673984900117</v>
      </c>
      <c r="K73" s="154">
        <v>-0.63896689563989639</v>
      </c>
      <c r="L73" s="154">
        <v>0.10017094714567065</v>
      </c>
      <c r="M73" s="154">
        <v>-0.48206640686839819</v>
      </c>
      <c r="N73" s="155">
        <v>0.88624332519248128</v>
      </c>
      <c r="O73" s="156" t="s">
        <v>113</v>
      </c>
      <c r="P73" s="147">
        <v>0.94285820828227096</v>
      </c>
      <c r="Q73" s="147">
        <v>0.59908433947031525</v>
      </c>
      <c r="R73" s="147">
        <v>0.34732299638119779</v>
      </c>
      <c r="S73" s="123"/>
      <c r="T73" s="123"/>
      <c r="V73" s="123"/>
      <c r="W73" s="123"/>
      <c r="X73" s="123"/>
      <c r="Y73" s="123"/>
      <c r="Z73" s="123"/>
      <c r="AA73" s="123"/>
      <c r="AB73" s="123"/>
      <c r="AC73" s="123"/>
      <c r="AD73" s="123"/>
      <c r="AE73" s="147">
        <v>0.45751959019293453</v>
      </c>
      <c r="AF73" s="147">
        <v>0.71227752573454306</v>
      </c>
      <c r="AG73" s="147">
        <v>0.88844446385599363</v>
      </c>
      <c r="AH73" s="156" t="s">
        <v>113</v>
      </c>
      <c r="AI73" s="147">
        <v>-3.8905788261923167E-2</v>
      </c>
      <c r="AJ73" s="147">
        <v>-0.22484676886408286</v>
      </c>
      <c r="AK73" s="147">
        <v>-0.30116921250729273</v>
      </c>
      <c r="AL73" s="156" t="s">
        <v>113</v>
      </c>
      <c r="AM73" s="153">
        <v>3.7992368240234503E-3</v>
      </c>
      <c r="AN73" s="154">
        <v>-3.0813149432438909E-2</v>
      </c>
      <c r="AO73" s="154">
        <v>6.3940310685510593E-2</v>
      </c>
      <c r="AP73" s="154">
        <v>-0.41113216189020985</v>
      </c>
      <c r="AQ73" s="155">
        <v>-0.56492176963329876</v>
      </c>
      <c r="AR73" s="123"/>
      <c r="AS73" s="123"/>
      <c r="AT73" s="123"/>
      <c r="AU73" s="123"/>
      <c r="AV73" s="123"/>
      <c r="AW73" s="123"/>
      <c r="AX73" s="123"/>
      <c r="AY73" s="128" t="s">
        <v>113</v>
      </c>
      <c r="AZ73" s="125">
        <v>0.10063681616659882</v>
      </c>
      <c r="BA73" s="126">
        <v>-0.63588558069665246</v>
      </c>
      <c r="BB73" s="126">
        <v>9.377691607711959E-2</v>
      </c>
      <c r="BC73" s="126">
        <v>-0.44095319067937722</v>
      </c>
      <c r="BD73" s="127">
        <v>0.94273550215581114</v>
      </c>
    </row>
    <row r="74" spans="1:56" ht="20" customHeight="1" x14ac:dyDescent="0.2">
      <c r="A74" s="199"/>
      <c r="B74" s="123"/>
      <c r="C74" s="123"/>
      <c r="D74" s="123"/>
      <c r="E74" s="123"/>
      <c r="F74" s="123"/>
      <c r="G74" s="123"/>
      <c r="H74" s="123"/>
      <c r="I74" s="123"/>
      <c r="J74" s="153">
        <v>0.64300196059048176</v>
      </c>
      <c r="K74" s="154">
        <v>-0.68941218266263604</v>
      </c>
      <c r="L74" s="154">
        <v>0.65878942143172026</v>
      </c>
      <c r="M74" s="154">
        <v>-6.6155420150607824E-2</v>
      </c>
      <c r="N74" s="155">
        <v>-0.87859024479985237</v>
      </c>
      <c r="O74" s="156" t="s">
        <v>113</v>
      </c>
      <c r="P74" s="147">
        <v>-0.69343411624179341</v>
      </c>
      <c r="Q74" s="147">
        <v>-0.92732899916386979</v>
      </c>
      <c r="R74" s="147">
        <v>-1.1749438842515454</v>
      </c>
      <c r="S74" s="123"/>
      <c r="T74" s="123"/>
      <c r="V74" s="123"/>
      <c r="W74" s="123"/>
      <c r="X74" s="123"/>
      <c r="Y74" s="123"/>
      <c r="Z74" s="123"/>
      <c r="AA74" s="123"/>
      <c r="AB74" s="123"/>
      <c r="AC74" s="123"/>
      <c r="AD74" s="123"/>
      <c r="AE74" s="147">
        <v>0.63977963762286916</v>
      </c>
      <c r="AF74" s="147">
        <v>0.46805418378216579</v>
      </c>
      <c r="AG74" s="147">
        <v>0.3179707653727778</v>
      </c>
      <c r="AH74" s="156" t="s">
        <v>113</v>
      </c>
      <c r="AI74" s="147">
        <v>-0.11714369184280631</v>
      </c>
      <c r="AJ74" s="147">
        <v>-0.15547287569628301</v>
      </c>
      <c r="AK74" s="147">
        <v>-0.21056327400494207</v>
      </c>
      <c r="AL74" s="156" t="s">
        <v>113</v>
      </c>
      <c r="AM74" s="153">
        <v>-2.3891828423695999E-2</v>
      </c>
      <c r="AN74" s="154">
        <v>-1.8824214422264455E-2</v>
      </c>
      <c r="AO74" s="154">
        <v>4.8374642653879182E-2</v>
      </c>
      <c r="AP74" s="154">
        <v>-0.28425518720134635</v>
      </c>
      <c r="AQ74" s="155">
        <v>-0.48317984154403137</v>
      </c>
      <c r="AR74" s="123"/>
      <c r="AS74" s="123"/>
      <c r="AT74" s="123"/>
      <c r="AU74" s="123"/>
      <c r="AV74" s="123"/>
      <c r="AW74" s="123"/>
      <c r="AX74" s="123"/>
      <c r="AY74" s="128" t="s">
        <v>113</v>
      </c>
      <c r="AZ74" s="125">
        <v>0.64539114343285131</v>
      </c>
      <c r="BA74" s="126">
        <v>-0.68752976122040954</v>
      </c>
      <c r="BB74" s="126">
        <v>0.65395195716633236</v>
      </c>
      <c r="BC74" s="126">
        <v>-3.7729901430473188E-2</v>
      </c>
      <c r="BD74" s="127">
        <v>-0.83027226064544923</v>
      </c>
    </row>
    <row r="75" spans="1:56" ht="20" customHeight="1" x14ac:dyDescent="0.2">
      <c r="A75" s="199"/>
      <c r="B75" s="123"/>
      <c r="C75" s="123"/>
      <c r="D75" s="123"/>
      <c r="E75" s="123"/>
      <c r="F75" s="123"/>
      <c r="G75" s="123"/>
      <c r="H75" s="123"/>
      <c r="I75" s="123"/>
      <c r="J75" s="153">
        <v>-0.95508952857926488</v>
      </c>
      <c r="K75" s="154">
        <v>7.4577544815838337E-2</v>
      </c>
      <c r="L75" s="154">
        <v>0.65992052899673581</v>
      </c>
      <c r="M75" s="154">
        <v>0.69066423736512661</v>
      </c>
      <c r="N75" s="155">
        <v>0.36183613305911422</v>
      </c>
      <c r="O75" s="156" t="s">
        <v>113</v>
      </c>
      <c r="P75" s="147">
        <v>3.4816638728674298E-2</v>
      </c>
      <c r="Q75" s="147">
        <v>0.80731553459933103</v>
      </c>
      <c r="R75" s="147">
        <v>0.89390806555968516</v>
      </c>
      <c r="S75" s="123"/>
      <c r="T75" s="123"/>
      <c r="V75" s="123"/>
      <c r="W75" s="123"/>
      <c r="X75" s="123"/>
      <c r="Y75" s="123"/>
      <c r="Z75" s="123"/>
      <c r="AA75" s="123"/>
      <c r="AB75" s="123"/>
      <c r="AC75" s="123"/>
      <c r="AD75" s="123"/>
      <c r="AE75" s="147">
        <v>0.9987887806116823</v>
      </c>
      <c r="AF75" s="147">
        <v>0.5536334184695878</v>
      </c>
      <c r="AG75" s="147">
        <v>0.4911765205157157</v>
      </c>
      <c r="AH75" s="156" t="s">
        <v>113</v>
      </c>
      <c r="AI75" s="147">
        <v>-1.9862360371581751E-3</v>
      </c>
      <c r="AJ75" s="147">
        <v>9.6899575994653254E-3</v>
      </c>
      <c r="AK75" s="147">
        <v>-2.0436800724994861E-2</v>
      </c>
      <c r="AL75" s="156" t="s">
        <v>113</v>
      </c>
      <c r="AM75" s="153">
        <v>-1.6598351612990192E-4</v>
      </c>
      <c r="AN75" s="154">
        <v>-3.8300523891753712E-3</v>
      </c>
      <c r="AO75" s="154">
        <v>2.948800348766678E-3</v>
      </c>
      <c r="AP75" s="154">
        <v>-1.1187057793866494E-2</v>
      </c>
      <c r="AQ75" s="155">
        <v>-1.273307916268771E-2</v>
      </c>
      <c r="AR75" s="123"/>
      <c r="AS75" s="123"/>
      <c r="AT75" s="123"/>
      <c r="AU75" s="123"/>
      <c r="AV75" s="123"/>
      <c r="AW75" s="123"/>
      <c r="AX75" s="123"/>
      <c r="AY75" s="128" t="s">
        <v>113</v>
      </c>
      <c r="AZ75" s="125">
        <v>-0.95507293022765194</v>
      </c>
      <c r="BA75" s="126">
        <v>7.4960550054755867E-2</v>
      </c>
      <c r="BB75" s="126">
        <v>0.65962564896185916</v>
      </c>
      <c r="BC75" s="126">
        <v>0.69178294314451327</v>
      </c>
      <c r="BD75" s="127">
        <v>0.363109440975383</v>
      </c>
    </row>
    <row r="76" spans="1:56" ht="20" customHeight="1" x14ac:dyDescent="0.2">
      <c r="A76" s="199"/>
      <c r="B76" s="123"/>
      <c r="C76" s="123"/>
      <c r="D76" s="123"/>
      <c r="E76" s="123"/>
      <c r="F76" s="123"/>
      <c r="G76" s="123"/>
      <c r="H76" s="123"/>
      <c r="I76" s="123"/>
      <c r="J76" s="153">
        <v>-0.23848383221775293</v>
      </c>
      <c r="K76" s="154">
        <v>0.17131369048729539</v>
      </c>
      <c r="L76" s="154">
        <v>0.39279431104660034</v>
      </c>
      <c r="M76" s="154">
        <v>0.42273078812286258</v>
      </c>
      <c r="N76" s="155">
        <v>0.43723615352064371</v>
      </c>
      <c r="O76" s="156" t="s">
        <v>113</v>
      </c>
      <c r="P76" s="147">
        <v>0.33556997512887177</v>
      </c>
      <c r="Q76" s="147">
        <v>0.69329679877979944</v>
      </c>
      <c r="R76" s="147">
        <v>0.77342123925370732</v>
      </c>
      <c r="S76" s="123"/>
      <c r="T76" s="123"/>
      <c r="V76" s="123"/>
      <c r="W76" s="123"/>
      <c r="X76" s="123"/>
      <c r="Y76" s="123"/>
      <c r="Z76" s="123"/>
      <c r="AA76" s="123"/>
      <c r="AB76" s="123"/>
      <c r="AC76" s="123"/>
      <c r="AD76" s="123"/>
      <c r="AE76" s="147">
        <v>0.89533692395572562</v>
      </c>
      <c r="AF76" s="147">
        <v>0.63988509435487284</v>
      </c>
      <c r="AG76" s="147">
        <v>0.57891005041214083</v>
      </c>
      <c r="AH76" s="156" t="s">
        <v>113</v>
      </c>
      <c r="AI76" s="147">
        <v>-9.2980525717700185E-2</v>
      </c>
      <c r="AJ76" s="147">
        <v>-6.5955726925904429E-2</v>
      </c>
      <c r="AK76" s="147">
        <v>-0.22954450611439042</v>
      </c>
      <c r="AL76" s="156" t="s">
        <v>113</v>
      </c>
      <c r="AM76" s="153">
        <v>-1.8371307148386209E-2</v>
      </c>
      <c r="AN76" s="154">
        <v>-2.8748485556167911E-2</v>
      </c>
      <c r="AO76" s="154">
        <v>4.5626649792665674E-2</v>
      </c>
      <c r="AP76" s="154">
        <v>-0.24124873952712972</v>
      </c>
      <c r="AQ76" s="155">
        <v>-0.38848075875799504</v>
      </c>
      <c r="AR76" s="123"/>
      <c r="AS76" s="123"/>
      <c r="AT76" s="123"/>
      <c r="AU76" s="123"/>
      <c r="AV76" s="123"/>
      <c r="AW76" s="123"/>
      <c r="AX76" s="123"/>
      <c r="AY76" s="128" t="s">
        <v>113</v>
      </c>
      <c r="AZ76" s="125">
        <v>-0.23664670150291431</v>
      </c>
      <c r="BA76" s="126">
        <v>0.17418853904291218</v>
      </c>
      <c r="BB76" s="126">
        <v>0.38823164606733379</v>
      </c>
      <c r="BC76" s="126">
        <v>0.44685566207557553</v>
      </c>
      <c r="BD76" s="127">
        <v>0.47608422939644324</v>
      </c>
    </row>
    <row r="77" spans="1:56" ht="20" customHeight="1" x14ac:dyDescent="0.2">
      <c r="A77" s="199"/>
      <c r="B77" s="123"/>
      <c r="C77" s="123"/>
      <c r="D77" s="123"/>
      <c r="E77" s="123"/>
      <c r="F77" s="123"/>
      <c r="G77" s="123"/>
      <c r="H77" s="123"/>
      <c r="I77" s="123"/>
      <c r="J77" s="153">
        <v>0.98057489516213536</v>
      </c>
      <c r="K77" s="154">
        <v>-0.10049430094659328</v>
      </c>
      <c r="L77" s="154">
        <v>-0.80414718249812722</v>
      </c>
      <c r="M77" s="154">
        <v>-0.61681174952536821</v>
      </c>
      <c r="N77" s="155">
        <v>-0.10524276783689857</v>
      </c>
      <c r="O77" s="156" t="s">
        <v>113</v>
      </c>
      <c r="P77" s="147">
        <v>0.23447579724750744</v>
      </c>
      <c r="Q77" s="147">
        <v>-0.4921735757619119</v>
      </c>
      <c r="R77" s="147">
        <v>-0.55420162733872647</v>
      </c>
      <c r="S77" s="123"/>
      <c r="T77" s="123"/>
      <c r="V77" s="123"/>
      <c r="W77" s="123"/>
      <c r="X77" s="123"/>
      <c r="Y77" s="123"/>
      <c r="Z77" s="123"/>
      <c r="AA77" s="123"/>
      <c r="AB77" s="123"/>
      <c r="AC77" s="123"/>
      <c r="AD77" s="123"/>
      <c r="AE77" s="147">
        <v>0.94697519022873533</v>
      </c>
      <c r="AF77" s="147">
        <v>0.79211883655776838</v>
      </c>
      <c r="AG77" s="147">
        <v>0.74632396737777251</v>
      </c>
      <c r="AH77" s="156" t="s">
        <v>113</v>
      </c>
      <c r="AI77" s="147">
        <v>0.14109966722605652</v>
      </c>
      <c r="AJ77" s="147">
        <v>0.31910628761551335</v>
      </c>
      <c r="AK77" s="147">
        <v>0.49823232614938551</v>
      </c>
      <c r="AL77" s="156" t="s">
        <v>113</v>
      </c>
      <c r="AM77" s="153">
        <v>1.7634814926139056E-2</v>
      </c>
      <c r="AN77" s="154">
        <v>5.2195177126075631E-2</v>
      </c>
      <c r="AO77" s="154">
        <v>-0.10610287962372889</v>
      </c>
      <c r="AP77" s="154">
        <v>0.64297245485504861</v>
      </c>
      <c r="AQ77" s="155">
        <v>0.9584382809909554</v>
      </c>
      <c r="AR77" s="123"/>
      <c r="AS77" s="123"/>
      <c r="AT77" s="123"/>
      <c r="AU77" s="123"/>
      <c r="AV77" s="123"/>
      <c r="AW77" s="123"/>
      <c r="AX77" s="123"/>
      <c r="AY77" s="128" t="s">
        <v>113</v>
      </c>
      <c r="AZ77" s="125">
        <v>0.9788114136695214</v>
      </c>
      <c r="BA77" s="126">
        <v>-0.10571381865920085</v>
      </c>
      <c r="BB77" s="126">
        <v>-0.79353689453575438</v>
      </c>
      <c r="BC77" s="126">
        <v>-0.68110899501087308</v>
      </c>
      <c r="BD77" s="127">
        <v>-0.20108659593599409</v>
      </c>
    </row>
    <row r="78" spans="1:56" ht="20" customHeight="1" x14ac:dyDescent="0.2">
      <c r="A78" s="199"/>
      <c r="B78" s="123"/>
      <c r="C78" s="123"/>
      <c r="D78" s="123"/>
      <c r="E78" s="123"/>
      <c r="F78" s="123"/>
      <c r="G78" s="123"/>
      <c r="H78" s="123"/>
      <c r="I78" s="123"/>
      <c r="J78" s="153">
        <v>-0.74599776789546013</v>
      </c>
      <c r="K78" s="154">
        <v>0.53752975491806865</v>
      </c>
      <c r="L78" s="154">
        <v>0.18744094390422106</v>
      </c>
      <c r="M78" s="154">
        <v>0.60928811924532056</v>
      </c>
      <c r="N78" s="155">
        <v>-0.2211772371083498</v>
      </c>
      <c r="O78" s="156" t="s">
        <v>113</v>
      </c>
      <c r="P78" s="148">
        <v>-0.4795723442045039</v>
      </c>
      <c r="Q78" s="148">
        <v>0.15849397521710407</v>
      </c>
      <c r="R78" s="148">
        <v>0.38511095160256903</v>
      </c>
      <c r="S78" s="123"/>
      <c r="T78" s="149" t="str">
        <f>HYPERLINK("#Blueprint!torchcode", "&lt;/&gt;")</f>
        <v>&lt;/&gt;</v>
      </c>
      <c r="V78" s="149" t="str">
        <f>HYPERLINK("#Blueprint!torchcode", "&lt;/&gt;")</f>
        <v>&lt;/&gt;</v>
      </c>
      <c r="W78" s="123"/>
      <c r="X78" s="123"/>
      <c r="Y78" s="123"/>
      <c r="Z78" s="123"/>
      <c r="AA78" s="123"/>
      <c r="AB78" s="123"/>
      <c r="AC78" s="123"/>
      <c r="AD78" s="123"/>
      <c r="AE78" s="148">
        <v>0.80117225393377767</v>
      </c>
      <c r="AF78" s="148">
        <v>0.97529443646305092</v>
      </c>
      <c r="AG78" s="148">
        <v>0.86520984476814677</v>
      </c>
      <c r="AH78" s="156" t="s">
        <v>113</v>
      </c>
      <c r="AI78" s="148">
        <v>0.14764650194776405</v>
      </c>
      <c r="AJ78" s="148">
        <v>0.11765235427299009</v>
      </c>
      <c r="AK78" s="148">
        <v>0.44254541379137674</v>
      </c>
      <c r="AL78" s="156" t="s">
        <v>113</v>
      </c>
      <c r="AM78" s="153">
        <v>2.633727638949938E-2</v>
      </c>
      <c r="AN78" s="154">
        <v>5.7077321921539276E-2</v>
      </c>
      <c r="AO78" s="154">
        <v>-8.6122347605705057E-2</v>
      </c>
      <c r="AP78" s="154">
        <v>0.4594505808760051</v>
      </c>
      <c r="AQ78" s="155">
        <v>0.70784427001213079</v>
      </c>
      <c r="AR78" s="123"/>
      <c r="AS78" s="123"/>
      <c r="AT78" s="123"/>
      <c r="AU78" s="123"/>
      <c r="AV78" s="123"/>
      <c r="AW78" s="123"/>
      <c r="AX78" s="123"/>
      <c r="AY78" s="128" t="s">
        <v>113</v>
      </c>
      <c r="AZ78" s="125">
        <v>-0.74863149553441011</v>
      </c>
      <c r="BA78" s="126">
        <v>0.53182202272591472</v>
      </c>
      <c r="BB78" s="126">
        <v>0.19605317866479155</v>
      </c>
      <c r="BC78" s="126">
        <v>0.56334306115772004</v>
      </c>
      <c r="BD78" s="127">
        <v>-0.29196166410956287</v>
      </c>
    </row>
    <row r="79" spans="1:56" ht="20" customHeight="1" x14ac:dyDescent="0.2">
      <c r="A79" s="199"/>
      <c r="B79" s="123"/>
      <c r="C79" s="123"/>
      <c r="D79" s="123"/>
      <c r="E79" s="123"/>
      <c r="F79" s="123"/>
      <c r="G79" s="123"/>
      <c r="H79" s="123"/>
      <c r="I79" s="123"/>
      <c r="J79" s="123"/>
      <c r="K79" s="123"/>
      <c r="L79" s="123"/>
      <c r="M79" s="123"/>
      <c r="N79" s="123"/>
      <c r="O79" s="123"/>
      <c r="P79" s="123"/>
      <c r="Q79" s="123"/>
      <c r="R79" s="123"/>
      <c r="S79" s="123"/>
      <c r="T79" s="150" t="str">
        <f>HYPERLINK("#X", "▲")</f>
        <v>▲</v>
      </c>
      <c r="V79" s="150" t="str">
        <f>HYPERLINK("#X", "▲")</f>
        <v>▲</v>
      </c>
      <c r="W79" s="123"/>
      <c r="X79" s="123"/>
      <c r="Y79" s="123"/>
      <c r="Z79" s="123"/>
      <c r="AA79" s="123"/>
      <c r="AB79" s="123"/>
      <c r="AC79" s="123"/>
      <c r="AD79" s="123"/>
      <c r="AE79" s="123"/>
      <c r="AF79" s="123"/>
      <c r="AG79" s="123"/>
      <c r="AH79" s="123"/>
      <c r="AI79" s="123"/>
      <c r="AJ79" s="123"/>
      <c r="AK79" s="123"/>
      <c r="AL79" s="123"/>
      <c r="AM79" s="123"/>
      <c r="AN79" s="123"/>
      <c r="AO79" s="123"/>
      <c r="AP79" s="123"/>
      <c r="AQ79" s="123"/>
      <c r="AR79" s="123"/>
      <c r="AS79" s="123"/>
      <c r="AT79" s="123"/>
      <c r="AU79" s="123"/>
      <c r="AV79" s="123"/>
      <c r="AW79" s="123"/>
      <c r="AX79" s="123"/>
    </row>
    <row r="80" spans="1:56" ht="20" customHeight="1" x14ac:dyDescent="0.2">
      <c r="P80" s="143" t="s">
        <v>117</v>
      </c>
      <c r="Q80" s="143" t="s">
        <v>117</v>
      </c>
      <c r="R80" s="143" t="s">
        <v>117</v>
      </c>
      <c r="AI80" s="160" t="s">
        <v>128</v>
      </c>
      <c r="AJ80" s="160" t="s">
        <v>128</v>
      </c>
      <c r="AK80" s="160" t="s">
        <v>128</v>
      </c>
    </row>
    <row r="81" spans="1:50" ht="20" customHeight="1" x14ac:dyDescent="0.2">
      <c r="A81" s="198" t="s">
        <v>253</v>
      </c>
      <c r="B81" s="130"/>
      <c r="C81" s="130"/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1" t="s">
        <v>250</v>
      </c>
      <c r="Q81" s="130"/>
      <c r="R81" s="130"/>
      <c r="S81" s="130"/>
      <c r="T81" s="130"/>
      <c r="V81" s="130"/>
      <c r="W81" s="130"/>
      <c r="X81" s="130"/>
      <c r="Y81" s="130"/>
      <c r="Z81" s="130"/>
      <c r="AA81" s="130"/>
      <c r="AB81" s="130"/>
      <c r="AC81" s="130"/>
      <c r="AD81" s="130"/>
      <c r="AE81" s="130"/>
      <c r="AF81" s="130"/>
      <c r="AG81" s="130"/>
      <c r="AH81" s="130"/>
      <c r="AI81" s="131" t="s">
        <v>214</v>
      </c>
      <c r="AJ81" s="130"/>
      <c r="AK81" s="130"/>
      <c r="AL81" s="130"/>
      <c r="AM81" s="130"/>
      <c r="AN81" s="130"/>
      <c r="AO81" s="130"/>
      <c r="AP81" s="130"/>
      <c r="AQ81" s="130"/>
      <c r="AR81" s="130"/>
      <c r="AS81" s="130"/>
      <c r="AT81" s="130"/>
      <c r="AU81" s="130"/>
      <c r="AV81" s="130"/>
      <c r="AW81" s="130"/>
      <c r="AX81" s="130"/>
    </row>
    <row r="82" spans="1:50" ht="20" customHeight="1" x14ac:dyDescent="0.2">
      <c r="A82" s="198"/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3" t="s">
        <v>122</v>
      </c>
      <c r="Q82" s="130"/>
      <c r="R82" s="130"/>
      <c r="S82" s="130"/>
      <c r="T82" s="130"/>
      <c r="V82" s="130"/>
      <c r="W82" s="130"/>
      <c r="X82" s="130"/>
      <c r="Y82" s="130"/>
      <c r="Z82" s="130"/>
      <c r="AA82" s="130"/>
      <c r="AB82" s="130"/>
      <c r="AC82" s="130"/>
      <c r="AD82" s="130"/>
      <c r="AE82" s="130"/>
      <c r="AF82" s="130"/>
      <c r="AG82" s="162" t="s">
        <v>296</v>
      </c>
      <c r="AH82" s="130"/>
      <c r="AI82" s="133" t="s">
        <v>297</v>
      </c>
      <c r="AJ82" s="130"/>
      <c r="AK82" s="130"/>
      <c r="AL82" s="130"/>
      <c r="AM82" s="130"/>
      <c r="AN82" s="130"/>
      <c r="AO82" s="130"/>
      <c r="AP82" s="130"/>
      <c r="AQ82" s="130"/>
      <c r="AR82" s="130"/>
      <c r="AS82" s="130"/>
      <c r="AT82" s="130"/>
      <c r="AU82" s="130"/>
      <c r="AV82" s="130"/>
      <c r="AW82" s="130"/>
      <c r="AX82" s="130"/>
    </row>
    <row r="83" spans="1:50" ht="20" customHeight="1" x14ac:dyDescent="0.2">
      <c r="A83" s="198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8" cm="1">
        <f t="array" ref="P83:R92">EXP(Blueprint!P69:R78)</f>
        <v>0.69586457407000568</v>
      </c>
      <c r="Q83" s="138">
        <v>0.571111075168237</v>
      </c>
      <c r="R83" s="138">
        <v>0.41905683643125174</v>
      </c>
      <c r="S83" s="130"/>
      <c r="T83" s="130"/>
      <c r="V83" s="130"/>
      <c r="W83" s="130"/>
      <c r="X83" s="130"/>
      <c r="Y83" s="130"/>
      <c r="Z83" s="134" cm="1">
        <f t="array" ref="Z83:AG93">TRANSPOSE(W_5)</f>
        <v>-0.49530965043231845</v>
      </c>
      <c r="AA83" s="135">
        <v>-6.4654368907213211E-4</v>
      </c>
      <c r="AB83" s="135">
        <v>0.10017094714567065</v>
      </c>
      <c r="AC83" s="135">
        <v>0.69066423736512661</v>
      </c>
      <c r="AD83" s="135">
        <v>-0.10524276783689857</v>
      </c>
      <c r="AE83" s="135">
        <v>0.7657322296872735</v>
      </c>
      <c r="AF83" s="135">
        <v>0.61147017544135451</v>
      </c>
      <c r="AG83" s="136">
        <v>-0.58065154775977135</v>
      </c>
      <c r="AH83" s="137" t="s">
        <v>113</v>
      </c>
      <c r="AI83" s="138" cm="1">
        <f t="array" ref="AI83:AK92">_xlfn.DROP(MMULT(W_5T, G_5), -1)</f>
        <v>-8.6390004318553898E-2</v>
      </c>
      <c r="AJ83" s="138">
        <v>3.4218300649240578E-2</v>
      </c>
      <c r="AK83" s="138">
        <v>-9.0132616273557759E-2</v>
      </c>
      <c r="AL83" s="130"/>
      <c r="AM83" s="130"/>
      <c r="AN83" s="130"/>
      <c r="AO83" s="130"/>
      <c r="AP83" s="130"/>
      <c r="AQ83" s="130"/>
      <c r="AR83" s="130"/>
      <c r="AS83" s="130"/>
      <c r="AT83" s="130"/>
      <c r="AU83" s="130"/>
      <c r="AV83" s="130"/>
      <c r="AW83" s="130"/>
      <c r="AX83" s="130"/>
    </row>
    <row r="84" spans="1:50" ht="20" customHeight="1" x14ac:dyDescent="0.2">
      <c r="A84" s="198"/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9">
        <v>2.0711474515872461</v>
      </c>
      <c r="Q84" s="139">
        <v>4.7726843528168521</v>
      </c>
      <c r="R84" s="139">
        <v>5.9211272167241491</v>
      </c>
      <c r="S84" s="130"/>
      <c r="T84" s="130"/>
      <c r="V84" s="130"/>
      <c r="W84" s="130"/>
      <c r="X84" s="130"/>
      <c r="Y84" s="130"/>
      <c r="Z84" s="134">
        <v>-0.82374990917742252</v>
      </c>
      <c r="AA84" s="135">
        <v>0.28400189289823174</v>
      </c>
      <c r="AB84" s="135">
        <v>-0.48206640686839819</v>
      </c>
      <c r="AC84" s="135">
        <v>0.36183613305911422</v>
      </c>
      <c r="AD84" s="135">
        <v>-0.74599776789546013</v>
      </c>
      <c r="AE84" s="135">
        <v>0.91175615461543202</v>
      </c>
      <c r="AF84" s="135">
        <v>-0.13408753369003534</v>
      </c>
      <c r="AG84" s="136">
        <v>-0.54539888771250844</v>
      </c>
      <c r="AH84" s="137" t="s">
        <v>113</v>
      </c>
      <c r="AI84" s="139">
        <v>-0.11846294372984485</v>
      </c>
      <c r="AJ84" s="139">
        <v>0.17890338225775781</v>
      </c>
      <c r="AK84" s="139">
        <v>-0.23360683388484521</v>
      </c>
      <c r="AL84" s="130"/>
      <c r="AM84" s="130"/>
      <c r="AN84" s="130"/>
      <c r="AO84" s="130"/>
      <c r="AP84" s="130"/>
      <c r="AQ84" s="130"/>
      <c r="AR84" s="130"/>
      <c r="AS84" s="130"/>
      <c r="AT84" s="130"/>
      <c r="AU84" s="130"/>
      <c r="AV84" s="130"/>
      <c r="AW84" s="130"/>
      <c r="AX84" s="130"/>
    </row>
    <row r="85" spans="1:50" ht="20" customHeight="1" x14ac:dyDescent="0.2">
      <c r="A85" s="198"/>
      <c r="B85" s="130"/>
      <c r="C85" s="130"/>
      <c r="D85" s="130"/>
      <c r="E85" s="130"/>
      <c r="F85" s="130"/>
      <c r="G85" s="130"/>
      <c r="H85" s="130"/>
      <c r="I85" s="130"/>
      <c r="J85" s="130"/>
      <c r="K85" s="130"/>
      <c r="L85" s="130"/>
      <c r="M85" s="130"/>
      <c r="N85" s="130"/>
      <c r="O85" s="130"/>
      <c r="P85" s="139">
        <v>1.4519841955499726</v>
      </c>
      <c r="Q85" s="139">
        <v>1.90541275698765</v>
      </c>
      <c r="R85" s="139">
        <v>2.1170062980977367</v>
      </c>
      <c r="S85" s="130"/>
      <c r="T85" s="130"/>
      <c r="V85" s="130"/>
      <c r="W85" s="130"/>
      <c r="X85" s="130"/>
      <c r="Y85" s="130"/>
      <c r="Z85" s="134">
        <v>0.15456239646300673</v>
      </c>
      <c r="AA85" s="135">
        <v>0.72291237488389015</v>
      </c>
      <c r="AB85" s="135">
        <v>0.88624332519248128</v>
      </c>
      <c r="AC85" s="135">
        <v>-0.23848383221775293</v>
      </c>
      <c r="AD85" s="135">
        <v>0.53752975491806865</v>
      </c>
      <c r="AE85" s="135">
        <v>-0.61460280232131481</v>
      </c>
      <c r="AF85" s="135">
        <v>0.42012053960934281</v>
      </c>
      <c r="AG85" s="136">
        <v>0.38856628257781267</v>
      </c>
      <c r="AH85" s="137" t="s">
        <v>113</v>
      </c>
      <c r="AI85" s="139">
        <v>5.1859870757953314E-2</v>
      </c>
      <c r="AJ85" s="139">
        <v>0.10970770160791281</v>
      </c>
      <c r="AK85" s="139">
        <v>0.11583911663606181</v>
      </c>
      <c r="AL85" s="130"/>
      <c r="AM85" s="130"/>
      <c r="AN85" s="130"/>
      <c r="AO85" s="130"/>
      <c r="AP85" s="130"/>
      <c r="AQ85" s="130"/>
      <c r="AR85" s="130"/>
      <c r="AS85" s="130"/>
      <c r="AT85" s="130"/>
      <c r="AU85" s="130"/>
      <c r="AV85" s="130"/>
      <c r="AW85" s="130"/>
      <c r="AX85" s="130"/>
    </row>
    <row r="86" spans="1:50" ht="20" customHeight="1" x14ac:dyDescent="0.2">
      <c r="A86" s="198"/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9">
        <v>1.6546611309596344</v>
      </c>
      <c r="Q86" s="139">
        <v>3.9308494864327854</v>
      </c>
      <c r="R86" s="139">
        <v>3.5923812311363932</v>
      </c>
      <c r="S86" s="130"/>
      <c r="T86" s="130"/>
      <c r="V86" s="130"/>
      <c r="W86" s="130"/>
      <c r="X86" s="130"/>
      <c r="Y86" s="130"/>
      <c r="Z86" s="134">
        <v>-0.55489146802574396</v>
      </c>
      <c r="AA86" s="135">
        <v>0.19293955294415355</v>
      </c>
      <c r="AB86" s="135">
        <v>0.64300196059048176</v>
      </c>
      <c r="AC86" s="135">
        <v>0.17131369048729539</v>
      </c>
      <c r="AD86" s="135">
        <v>0.18744094390422106</v>
      </c>
      <c r="AE86" s="135">
        <v>0.7426020591519773</v>
      </c>
      <c r="AF86" s="135">
        <v>-0.38667081296443939</v>
      </c>
      <c r="AG86" s="136">
        <v>0.76364377932623029</v>
      </c>
      <c r="AH86" s="137" t="s">
        <v>113</v>
      </c>
      <c r="AI86" s="139">
        <v>-9.2863812536282314E-2</v>
      </c>
      <c r="AJ86" s="139">
        <v>7.9280431051919148E-2</v>
      </c>
      <c r="AK86" s="139">
        <v>-0.20792444543043026</v>
      </c>
      <c r="AL86" s="130"/>
      <c r="AM86" s="130"/>
      <c r="AN86" s="130"/>
      <c r="AO86" s="130"/>
      <c r="AP86" s="130"/>
      <c r="AQ86" s="130"/>
      <c r="AR86" s="130"/>
      <c r="AS86" s="130"/>
      <c r="AT86" s="130"/>
      <c r="AU86" s="130"/>
      <c r="AV86" s="130"/>
      <c r="AW86" s="130"/>
      <c r="AX86" s="130"/>
    </row>
    <row r="87" spans="1:50" ht="20" customHeight="1" x14ac:dyDescent="0.2">
      <c r="A87" s="198"/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9">
        <v>2.567308845089165</v>
      </c>
      <c r="Q87" s="139">
        <v>1.8204511217548662</v>
      </c>
      <c r="R87" s="139">
        <v>1.4152737798622812</v>
      </c>
      <c r="S87" s="130"/>
      <c r="T87" s="130"/>
      <c r="V87" s="130"/>
      <c r="W87" s="130"/>
      <c r="X87" s="130"/>
      <c r="Y87" s="130"/>
      <c r="Z87" s="134">
        <v>-0.24867960577830672</v>
      </c>
      <c r="AA87" s="135">
        <v>-0.81849968712776899</v>
      </c>
      <c r="AB87" s="135">
        <v>-0.68941218266263604</v>
      </c>
      <c r="AC87" s="135">
        <v>0.39279431104660034</v>
      </c>
      <c r="AD87" s="135">
        <v>0.60928811924532056</v>
      </c>
      <c r="AE87" s="135">
        <v>0.16464589070528746</v>
      </c>
      <c r="AF87" s="135">
        <v>-0.76281368779018521</v>
      </c>
      <c r="AG87" s="136">
        <v>0.63391893915832043</v>
      </c>
      <c r="AH87" s="137" t="s">
        <v>113</v>
      </c>
      <c r="AI87" s="139">
        <v>-8.5036333079238691E-2</v>
      </c>
      <c r="AJ87" s="139">
        <v>-0.31567297961873425</v>
      </c>
      <c r="AK87" s="139">
        <v>-0.33898484909250187</v>
      </c>
      <c r="AL87" s="130"/>
      <c r="AM87" s="130"/>
      <c r="AN87" s="130"/>
      <c r="AO87" s="130"/>
      <c r="AP87" s="130"/>
      <c r="AQ87" s="130"/>
      <c r="AR87" s="130"/>
      <c r="AS87" s="130"/>
      <c r="AT87" s="130"/>
      <c r="AU87" s="130"/>
      <c r="AV87" s="130"/>
      <c r="AW87" s="130"/>
      <c r="AX87" s="130"/>
    </row>
    <row r="88" spans="1:50" ht="20" customHeight="1" x14ac:dyDescent="0.2">
      <c r="A88" s="198"/>
      <c r="B88" s="130"/>
      <c r="C88" s="130"/>
      <c r="D88" s="130"/>
      <c r="E88" s="130"/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139">
        <v>0.4998565527401288</v>
      </c>
      <c r="Q88" s="139">
        <v>0.39560897233732362</v>
      </c>
      <c r="R88" s="139">
        <v>0.30883630978244309</v>
      </c>
      <c r="S88" s="130"/>
      <c r="T88" s="130"/>
      <c r="V88" s="130"/>
      <c r="W88" s="130"/>
      <c r="X88" s="130"/>
      <c r="Y88" s="130"/>
      <c r="Z88" s="134">
        <v>-0.94867219030857086</v>
      </c>
      <c r="AA88" s="135">
        <v>-0.71958040399476886</v>
      </c>
      <c r="AB88" s="135">
        <v>0.65878942143172026</v>
      </c>
      <c r="AC88" s="135">
        <v>0.42273078812286258</v>
      </c>
      <c r="AD88" s="135">
        <v>-0.2211772371083498</v>
      </c>
      <c r="AE88" s="135">
        <v>-0.32663783570751548</v>
      </c>
      <c r="AF88" s="135">
        <v>1.8466987647116184E-2</v>
      </c>
      <c r="AG88" s="136">
        <v>0.39433844899758697</v>
      </c>
      <c r="AH88" s="137" t="s">
        <v>113</v>
      </c>
      <c r="AI88" s="139">
        <v>-0.18310006282484875</v>
      </c>
      <c r="AJ88" s="139">
        <v>-0.33216854177002869</v>
      </c>
      <c r="AK88" s="139">
        <v>-0.66220953916340408</v>
      </c>
      <c r="AL88" s="130"/>
      <c r="AM88" s="130"/>
      <c r="AN88" s="130"/>
      <c r="AO88" s="130"/>
      <c r="AP88" s="130"/>
      <c r="AQ88" s="130"/>
      <c r="AR88" s="130"/>
      <c r="AS88" s="130"/>
      <c r="AT88" s="130"/>
      <c r="AU88" s="130"/>
      <c r="AV88" s="130"/>
      <c r="AW88" s="130"/>
      <c r="AX88" s="130"/>
    </row>
    <row r="89" spans="1:50" ht="20" customHeight="1" x14ac:dyDescent="0.2">
      <c r="A89" s="198"/>
      <c r="B89" s="130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9">
        <v>1.0354298336616132</v>
      </c>
      <c r="Q89" s="139">
        <v>2.2418816478304073</v>
      </c>
      <c r="R89" s="139">
        <v>2.444664917700591</v>
      </c>
      <c r="S89" s="130"/>
      <c r="T89" s="130"/>
      <c r="V89" s="130"/>
      <c r="W89" s="130"/>
      <c r="X89" s="130"/>
      <c r="Y89" s="130"/>
      <c r="Z89" s="134">
        <v>-0.10543742822483182</v>
      </c>
      <c r="AA89" s="135">
        <v>0.90017655305564404</v>
      </c>
      <c r="AB89" s="135">
        <v>-6.6155420150607824E-2</v>
      </c>
      <c r="AC89" s="135">
        <v>0.43723615352064371</v>
      </c>
      <c r="AD89" s="135">
        <v>-0.56846183026209474</v>
      </c>
      <c r="AE89" s="135">
        <v>-0.37134510651230812</v>
      </c>
      <c r="AF89" s="135">
        <v>-0.76525073824450374</v>
      </c>
      <c r="AG89" s="136">
        <v>0.67895365413278341</v>
      </c>
      <c r="AH89" s="137" t="s">
        <v>113</v>
      </c>
      <c r="AI89" s="139">
        <v>-1.9886447222021821E-3</v>
      </c>
      <c r="AJ89" s="139">
        <v>1.7502479576199236E-2</v>
      </c>
      <c r="AK89" s="139">
        <v>-4.160785353407577E-2</v>
      </c>
      <c r="AL89" s="130"/>
      <c r="AM89" s="130"/>
      <c r="AN89" s="130"/>
      <c r="AO89" s="130"/>
      <c r="AP89" s="130"/>
      <c r="AQ89" s="130"/>
      <c r="AR89" s="130"/>
      <c r="AS89" s="130"/>
      <c r="AT89" s="130"/>
      <c r="AU89" s="130"/>
      <c r="AV89" s="130"/>
      <c r="AW89" s="130"/>
      <c r="AX89" s="130"/>
    </row>
    <row r="90" spans="1:50" ht="20" customHeight="1" x14ac:dyDescent="0.2">
      <c r="A90" s="198"/>
      <c r="B90" s="130"/>
      <c r="C90" s="130"/>
      <c r="D90" s="130"/>
      <c r="E90" s="130"/>
      <c r="F90" s="130"/>
      <c r="G90" s="130"/>
      <c r="H90" s="130"/>
      <c r="I90" s="130"/>
      <c r="J90" s="130"/>
      <c r="K90" s="130"/>
      <c r="L90" s="130"/>
      <c r="M90" s="130"/>
      <c r="N90" s="130"/>
      <c r="O90" s="130"/>
      <c r="P90" s="139">
        <v>1.398737403592436</v>
      </c>
      <c r="Q90" s="139">
        <v>2.0002992588264363</v>
      </c>
      <c r="R90" s="139">
        <v>2.1671679851985295</v>
      </c>
      <c r="S90" s="130"/>
      <c r="T90" s="130"/>
      <c r="V90" s="130"/>
      <c r="W90" s="130"/>
      <c r="X90" s="130"/>
      <c r="Y90" s="130"/>
      <c r="Z90" s="134">
        <v>-0.7630799924954772</v>
      </c>
      <c r="AA90" s="135">
        <v>0.84911089157685637</v>
      </c>
      <c r="AB90" s="135">
        <v>-0.87859024479985237</v>
      </c>
      <c r="AC90" s="135">
        <v>0.98057489516213536</v>
      </c>
      <c r="AD90" s="135">
        <v>-0.45588106755167246</v>
      </c>
      <c r="AE90" s="135">
        <v>-0.74128145398572087</v>
      </c>
      <c r="AF90" s="135">
        <v>-0.51294048689305782</v>
      </c>
      <c r="AG90" s="136">
        <v>-0.19671868300065398</v>
      </c>
      <c r="AH90" s="137" t="s">
        <v>113</v>
      </c>
      <c r="AI90" s="139">
        <v>-0.10384976116800704</v>
      </c>
      <c r="AJ90" s="139">
        <v>-0.10307432929407502</v>
      </c>
      <c r="AK90" s="139">
        <v>-0.3965115235967519</v>
      </c>
      <c r="AL90" s="130"/>
      <c r="AM90" s="130"/>
      <c r="AN90" s="130"/>
      <c r="AO90" s="130"/>
      <c r="AP90" s="130"/>
      <c r="AQ90" s="130"/>
      <c r="AR90" s="130"/>
      <c r="AS90" s="130"/>
      <c r="AT90" s="130"/>
      <c r="AU90" s="130"/>
      <c r="AV90" s="130"/>
      <c r="AW90" s="130"/>
      <c r="AX90" s="130"/>
    </row>
    <row r="91" spans="1:50" ht="20" customHeight="1" x14ac:dyDescent="0.2">
      <c r="A91" s="198"/>
      <c r="B91" s="130"/>
      <c r="C91" s="130"/>
      <c r="D91" s="130"/>
      <c r="E91" s="130"/>
      <c r="F91" s="130"/>
      <c r="G91" s="130"/>
      <c r="H91" s="130"/>
      <c r="I91" s="130"/>
      <c r="J91" s="130"/>
      <c r="K91" s="130"/>
      <c r="L91" s="130"/>
      <c r="M91" s="130"/>
      <c r="N91" s="130"/>
      <c r="O91" s="130"/>
      <c r="P91" s="139">
        <v>1.2642458738355147</v>
      </c>
      <c r="Q91" s="139">
        <v>0.61129625041072355</v>
      </c>
      <c r="R91" s="139">
        <v>0.57453076780058532</v>
      </c>
      <c r="S91" s="130"/>
      <c r="T91" s="130"/>
      <c r="V91" s="130"/>
      <c r="W91" s="130"/>
      <c r="X91" s="130"/>
      <c r="Y91" s="130"/>
      <c r="Z91" s="134">
        <v>0.74762741150334477</v>
      </c>
      <c r="AA91" s="135">
        <v>0.77893791254609823</v>
      </c>
      <c r="AB91" s="135">
        <v>-0.95508952857926488</v>
      </c>
      <c r="AC91" s="135">
        <v>-0.10049430094659328</v>
      </c>
      <c r="AD91" s="135">
        <v>-0.96183050191029906</v>
      </c>
      <c r="AE91" s="135">
        <v>0.95994036365300417</v>
      </c>
      <c r="AF91" s="135">
        <v>0.20819027861580253</v>
      </c>
      <c r="AG91" s="136">
        <v>-0.69368571788072586</v>
      </c>
      <c r="AH91" s="137" t="s">
        <v>113</v>
      </c>
      <c r="AI91" s="139">
        <v>0.14900038425713652</v>
      </c>
      <c r="AJ91" s="139">
        <v>0.40285153298742604</v>
      </c>
      <c r="AK91" s="139">
        <v>0.6675818383535731</v>
      </c>
      <c r="AL91" s="130"/>
      <c r="AM91" s="130"/>
      <c r="AN91" s="130"/>
      <c r="AO91" s="130"/>
      <c r="AP91" s="130"/>
      <c r="AQ91" s="130"/>
      <c r="AR91" s="130"/>
      <c r="AS91" s="130"/>
      <c r="AT91" s="130"/>
      <c r="AU91" s="130"/>
      <c r="AV91" s="130"/>
      <c r="AW91" s="130"/>
      <c r="AX91" s="130"/>
    </row>
    <row r="92" spans="1:50" ht="20" customHeight="1" x14ac:dyDescent="0.2">
      <c r="A92" s="198"/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40">
        <v>0.61904807470235679</v>
      </c>
      <c r="Q92" s="140">
        <v>1.1717448646955146</v>
      </c>
      <c r="R92" s="140">
        <v>1.4697773865512669</v>
      </c>
      <c r="S92" s="130"/>
      <c r="T92" s="130"/>
      <c r="V92" s="130"/>
      <c r="W92" s="130"/>
      <c r="X92" s="130"/>
      <c r="Y92" s="130"/>
      <c r="Z92" s="134">
        <v>0.98926855064928532</v>
      </c>
      <c r="AA92" s="135">
        <v>0.10101673984900117</v>
      </c>
      <c r="AB92" s="135">
        <v>7.4577544815838337E-2</v>
      </c>
      <c r="AC92" s="135">
        <v>-0.80414718249812722</v>
      </c>
      <c r="AD92" s="135">
        <v>-0.44405629485845566</v>
      </c>
      <c r="AE92" s="135">
        <v>-0.79405453754588962</v>
      </c>
      <c r="AF92" s="135">
        <v>0.39564891438931227</v>
      </c>
      <c r="AG92" s="136">
        <v>-0.74741946952417493</v>
      </c>
      <c r="AH92" s="137" t="s">
        <v>113</v>
      </c>
      <c r="AI92" s="140">
        <v>0.18428808689119686</v>
      </c>
      <c r="AJ92" s="140">
        <v>0.12063265191962094</v>
      </c>
      <c r="AK92" s="140">
        <v>0.51148911037872802</v>
      </c>
      <c r="AL92" s="130"/>
      <c r="AM92" s="130"/>
      <c r="AN92" s="130"/>
      <c r="AO92" s="130"/>
      <c r="AP92" s="130"/>
      <c r="AQ92" s="130"/>
      <c r="AR92" s="130"/>
      <c r="AS92" s="130"/>
      <c r="AT92" s="130"/>
      <c r="AU92" s="130"/>
      <c r="AV92" s="130"/>
      <c r="AW92" s="130"/>
      <c r="AX92" s="130"/>
    </row>
    <row r="93" spans="1:50" ht="20" customHeight="1" x14ac:dyDescent="0.2">
      <c r="A93" s="198"/>
      <c r="B93" s="130"/>
      <c r="C93" s="130"/>
      <c r="D93" s="130"/>
      <c r="E93" s="130"/>
      <c r="F93" s="130"/>
      <c r="G93" s="130"/>
      <c r="H93" s="130"/>
      <c r="I93" s="130"/>
      <c r="J93" s="130"/>
      <c r="K93" s="130"/>
      <c r="L93" s="130"/>
      <c r="M93" s="130"/>
      <c r="N93" s="130"/>
      <c r="O93" s="130"/>
      <c r="P93" s="133" t="s">
        <v>251</v>
      </c>
      <c r="Q93" s="130"/>
      <c r="R93" s="130"/>
      <c r="S93" s="130"/>
      <c r="T93" s="130"/>
      <c r="V93" s="130"/>
      <c r="W93" s="130"/>
      <c r="X93" s="130"/>
      <c r="Y93" s="130"/>
      <c r="Z93" s="134">
        <v>0.70640544733032584</v>
      </c>
      <c r="AA93" s="135">
        <v>-0.63896689563989639</v>
      </c>
      <c r="AB93" s="135">
        <v>0.65992052899673581</v>
      </c>
      <c r="AC93" s="135">
        <v>-0.61681174952536821</v>
      </c>
      <c r="AD93" s="135">
        <v>-0.33206332521513104</v>
      </c>
      <c r="AE93" s="135">
        <v>0.84302737377583981</v>
      </c>
      <c r="AF93" s="135">
        <v>-1.8640184309333563E-2</v>
      </c>
      <c r="AG93" s="136">
        <v>7.9626218415796757E-2</v>
      </c>
      <c r="AH93" s="130"/>
      <c r="AI93" s="130"/>
      <c r="AJ93" s="130"/>
      <c r="AK93" s="130"/>
      <c r="AL93" s="130"/>
      <c r="AM93" s="130"/>
      <c r="AN93" s="130"/>
      <c r="AO93" s="130"/>
      <c r="AP93" s="130"/>
      <c r="AQ93" s="130"/>
      <c r="AR93" s="130"/>
      <c r="AS93" s="130"/>
      <c r="AT93" s="130"/>
      <c r="AU93" s="130"/>
      <c r="AV93" s="130"/>
      <c r="AW93" s="130"/>
      <c r="AX93" s="130"/>
    </row>
    <row r="94" spans="1:50" ht="20" customHeight="1" x14ac:dyDescent="0.2">
      <c r="A94" s="198"/>
      <c r="B94" s="130"/>
      <c r="C94" s="130"/>
      <c r="D94" s="130"/>
      <c r="E94" s="130"/>
      <c r="F94" s="130"/>
      <c r="G94" s="130"/>
      <c r="H94" s="130"/>
      <c r="I94" s="130"/>
      <c r="J94" s="130"/>
      <c r="K94" s="130"/>
      <c r="L94" s="130"/>
      <c r="M94" s="130"/>
      <c r="N94" s="130"/>
      <c r="O94" s="130"/>
      <c r="P94" s="138" cm="1">
        <f t="array" ref="P94:R103">EXP(-Blueprint!P69:R78)</f>
        <v>1.4370612289560203</v>
      </c>
      <c r="Q94" s="138">
        <v>1.7509728728433809</v>
      </c>
      <c r="R94" s="138">
        <v>2.3863111469941494</v>
      </c>
      <c r="S94" s="130"/>
      <c r="T94" s="130"/>
      <c r="V94" s="130"/>
      <c r="W94" s="130"/>
      <c r="X94" s="130"/>
      <c r="Y94" s="130"/>
      <c r="Z94" s="130"/>
      <c r="AA94" s="130"/>
      <c r="AB94" s="130"/>
      <c r="AC94" s="130"/>
      <c r="AD94" s="130"/>
      <c r="AE94" s="130"/>
      <c r="AF94" s="130"/>
      <c r="AG94" s="130"/>
      <c r="AH94" s="130"/>
      <c r="AI94" s="130"/>
      <c r="AJ94" s="130"/>
      <c r="AK94" s="130"/>
      <c r="AL94" s="130"/>
      <c r="AM94" s="130"/>
      <c r="AN94" s="130"/>
      <c r="AO94" s="130"/>
      <c r="AP94" s="130"/>
      <c r="AQ94" s="130"/>
      <c r="AR94" s="130"/>
      <c r="AS94" s="130"/>
      <c r="AT94" s="130"/>
      <c r="AU94" s="130"/>
      <c r="AV94" s="130"/>
      <c r="AW94" s="130"/>
      <c r="AX94" s="130"/>
    </row>
    <row r="95" spans="1:50" ht="20" customHeight="1" x14ac:dyDescent="0.2">
      <c r="A95" s="198"/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9">
        <v>0.4828241462159728</v>
      </c>
      <c r="Q95" s="139">
        <v>0.20952569373455363</v>
      </c>
      <c r="R95" s="139">
        <v>0.16888676148952056</v>
      </c>
      <c r="S95" s="130"/>
      <c r="T95" s="130"/>
      <c r="V95" s="130"/>
      <c r="W95" s="130"/>
      <c r="X95" s="130"/>
      <c r="Y95" s="130"/>
      <c r="Z95" s="130"/>
      <c r="AA95" s="130"/>
      <c r="AB95" s="130"/>
      <c r="AC95" s="130"/>
      <c r="AD95" s="130"/>
      <c r="AE95" s="130"/>
      <c r="AF95" s="130"/>
      <c r="AG95" s="130"/>
      <c r="AH95" s="130"/>
      <c r="AI95" s="130"/>
      <c r="AJ95" s="130"/>
      <c r="AK95" s="130"/>
      <c r="AL95" s="130"/>
      <c r="AM95" s="130"/>
      <c r="AN95" s="130"/>
      <c r="AO95" s="130"/>
      <c r="AP95" s="130"/>
      <c r="AQ95" s="130"/>
      <c r="AR95" s="130"/>
      <c r="AS95" s="130"/>
      <c r="AT95" s="130"/>
      <c r="AU95" s="130"/>
      <c r="AV95" s="130"/>
      <c r="AW95" s="130"/>
      <c r="AX95" s="130"/>
    </row>
    <row r="96" spans="1:50" ht="20" customHeight="1" x14ac:dyDescent="0.2">
      <c r="A96" s="198"/>
      <c r="B96" s="130"/>
      <c r="C96" s="130"/>
      <c r="D96" s="130"/>
      <c r="E96" s="130"/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139">
        <v>0.68871273052750204</v>
      </c>
      <c r="Q96" s="139">
        <v>0.52482067013183198</v>
      </c>
      <c r="R96" s="139">
        <v>0.47236515115640559</v>
      </c>
      <c r="S96" s="130"/>
      <c r="T96" s="130"/>
      <c r="V96" s="130"/>
      <c r="W96" s="130"/>
      <c r="X96" s="130"/>
      <c r="Y96" s="130"/>
      <c r="Z96" s="130"/>
      <c r="AA96" s="130"/>
      <c r="AB96" s="130"/>
      <c r="AC96" s="130"/>
      <c r="AD96" s="130"/>
      <c r="AE96" s="130"/>
      <c r="AF96" s="130"/>
      <c r="AG96" s="130"/>
      <c r="AH96" s="130"/>
      <c r="AI96" s="130"/>
      <c r="AJ96" s="130"/>
      <c r="AK96" s="130"/>
      <c r="AL96" s="130"/>
      <c r="AM96" s="130"/>
      <c r="AN96" s="130"/>
      <c r="AO96" s="130"/>
      <c r="AP96" s="130"/>
      <c r="AQ96" s="130"/>
      <c r="AR96" s="130"/>
      <c r="AS96" s="130"/>
      <c r="AT96" s="130"/>
      <c r="AU96" s="130"/>
      <c r="AV96" s="130"/>
      <c r="AW96" s="130"/>
      <c r="AX96" s="130"/>
    </row>
    <row r="97" spans="1:50" ht="20" customHeight="1" x14ac:dyDescent="0.2">
      <c r="A97" s="198"/>
      <c r="B97" s="130"/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  <c r="N97" s="130"/>
      <c r="O97" s="130"/>
      <c r="P97" s="139">
        <v>0.60435335144425717</v>
      </c>
      <c r="Q97" s="139">
        <v>0.25439793699847107</v>
      </c>
      <c r="R97" s="139">
        <v>0.27836689250368502</v>
      </c>
      <c r="S97" s="130"/>
      <c r="T97" s="130"/>
      <c r="V97" s="130"/>
      <c r="W97" s="130"/>
      <c r="X97" s="130"/>
      <c r="Y97" s="130"/>
      <c r="Z97" s="130"/>
      <c r="AA97" s="130"/>
      <c r="AB97" s="130"/>
      <c r="AC97" s="130"/>
      <c r="AD97" s="130"/>
      <c r="AE97" s="130"/>
      <c r="AF97" s="130"/>
      <c r="AG97" s="130"/>
      <c r="AH97" s="130"/>
      <c r="AI97" s="130"/>
      <c r="AJ97" s="130"/>
      <c r="AK97" s="130"/>
      <c r="AL97" s="130"/>
      <c r="AM97" s="130"/>
      <c r="AN97" s="130"/>
      <c r="AO97" s="130"/>
      <c r="AP97" s="130"/>
      <c r="AQ97" s="130"/>
      <c r="AR97" s="130"/>
      <c r="AS97" s="130"/>
      <c r="AT97" s="130"/>
      <c r="AU97" s="130"/>
      <c r="AV97" s="130"/>
      <c r="AW97" s="130"/>
      <c r="AX97" s="130"/>
    </row>
    <row r="98" spans="1:50" ht="20" customHeight="1" x14ac:dyDescent="0.2">
      <c r="A98" s="198"/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9">
        <v>0.38951293371377338</v>
      </c>
      <c r="Q98" s="139">
        <v>0.54931439138889193</v>
      </c>
      <c r="R98" s="139">
        <v>0.70657706955986199</v>
      </c>
      <c r="S98" s="130"/>
      <c r="T98" s="130"/>
      <c r="V98" s="130"/>
      <c r="W98" s="130"/>
      <c r="X98" s="130"/>
      <c r="Y98" s="130"/>
      <c r="Z98" s="130"/>
      <c r="AA98" s="130"/>
      <c r="AB98" s="130"/>
      <c r="AC98" s="130"/>
      <c r="AD98" s="130"/>
      <c r="AE98" s="130"/>
      <c r="AF98" s="130"/>
      <c r="AG98" s="130"/>
      <c r="AH98" s="130"/>
      <c r="AI98" s="130"/>
      <c r="AJ98" s="130"/>
      <c r="AK98" s="130"/>
      <c r="AL98" s="130"/>
      <c r="AM98" s="130"/>
      <c r="AN98" s="130"/>
      <c r="AO98" s="130"/>
      <c r="AP98" s="130"/>
      <c r="AQ98" s="130"/>
      <c r="AR98" s="130"/>
      <c r="AS98" s="130"/>
      <c r="AT98" s="130"/>
      <c r="AU98" s="130"/>
      <c r="AV98" s="130"/>
      <c r="AW98" s="130"/>
      <c r="AX98" s="130"/>
    </row>
    <row r="99" spans="1:50" ht="20" customHeight="1" x14ac:dyDescent="0.2">
      <c r="A99" s="198"/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9">
        <v>2.0005739537036571</v>
      </c>
      <c r="Q99" s="139">
        <v>2.5277485343465131</v>
      </c>
      <c r="R99" s="139">
        <v>3.2379612381213883</v>
      </c>
      <c r="S99" s="130"/>
      <c r="T99" s="130"/>
      <c r="V99" s="130"/>
      <c r="W99" s="130"/>
      <c r="X99" s="130"/>
      <c r="Y99" s="130"/>
      <c r="Z99" s="130"/>
      <c r="AA99" s="130"/>
      <c r="AB99" s="130"/>
      <c r="AC99" s="130"/>
      <c r="AD99" s="130"/>
      <c r="AE99" s="130"/>
      <c r="AF99" s="130"/>
      <c r="AG99" s="130"/>
      <c r="AH99" s="130"/>
      <c r="AI99" s="130"/>
      <c r="AJ99" s="130"/>
      <c r="AK99" s="130"/>
      <c r="AL99" s="130"/>
      <c r="AM99" s="130"/>
      <c r="AN99" s="130"/>
      <c r="AO99" s="130"/>
      <c r="AP99" s="130"/>
      <c r="AQ99" s="130"/>
      <c r="AR99" s="130"/>
      <c r="AS99" s="130"/>
      <c r="AT99" s="130"/>
      <c r="AU99" s="130"/>
      <c r="AV99" s="130"/>
      <c r="AW99" s="130"/>
      <c r="AX99" s="130"/>
    </row>
    <row r="100" spans="1:50" ht="20" customHeight="1" x14ac:dyDescent="0.2">
      <c r="A100" s="198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9">
        <v>0.96578248712776427</v>
      </c>
      <c r="Q100" s="139">
        <v>0.44605387664766116</v>
      </c>
      <c r="R100" s="139">
        <v>0.40905401503474037</v>
      </c>
      <c r="S100" s="130"/>
      <c r="T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0"/>
      <c r="AH100" s="130"/>
      <c r="AI100" s="130"/>
      <c r="AJ100" s="130"/>
      <c r="AK100" s="130"/>
      <c r="AL100" s="130"/>
      <c r="AM100" s="130"/>
      <c r="AN100" s="130"/>
      <c r="AO100" s="130"/>
      <c r="AP100" s="130"/>
      <c r="AQ100" s="130"/>
      <c r="AR100" s="130"/>
      <c r="AS100" s="130"/>
      <c r="AT100" s="130"/>
      <c r="AU100" s="130"/>
      <c r="AV100" s="130"/>
      <c r="AW100" s="130"/>
      <c r="AX100" s="130"/>
    </row>
    <row r="101" spans="1:50" ht="20" customHeight="1" x14ac:dyDescent="0.2">
      <c r="A101" s="198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  <c r="N101" s="130"/>
      <c r="O101" s="130"/>
      <c r="P101" s="139">
        <v>0.71493047760906236</v>
      </c>
      <c r="Q101" s="139">
        <v>0.49992519648619677</v>
      </c>
      <c r="R101" s="139">
        <v>0.46143169649508831</v>
      </c>
      <c r="S101" s="130"/>
      <c r="T101" s="130"/>
      <c r="V101" s="130"/>
      <c r="W101" s="130"/>
      <c r="X101" s="130"/>
      <c r="Y101" s="130"/>
      <c r="Z101" s="130"/>
      <c r="AA101" s="130"/>
      <c r="AB101" s="130"/>
      <c r="AC101" s="130"/>
      <c r="AD101" s="130"/>
      <c r="AE101" s="130"/>
      <c r="AF101" s="130"/>
      <c r="AG101" s="130"/>
      <c r="AH101" s="130"/>
      <c r="AI101" s="130"/>
      <c r="AJ101" s="130"/>
      <c r="AK101" s="130"/>
      <c r="AL101" s="130"/>
      <c r="AM101" s="130"/>
      <c r="AN101" s="130"/>
      <c r="AO101" s="130"/>
      <c r="AP101" s="130"/>
      <c r="AQ101" s="130"/>
      <c r="AR101" s="130"/>
      <c r="AS101" s="130"/>
      <c r="AT101" s="130"/>
      <c r="AU101" s="130"/>
      <c r="AV101" s="130"/>
      <c r="AW101" s="130"/>
      <c r="AX101" s="130"/>
    </row>
    <row r="102" spans="1:50" ht="20" customHeight="1" x14ac:dyDescent="0.2">
      <c r="A102" s="198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139">
        <v>0.79098537768303256</v>
      </c>
      <c r="Q102" s="139">
        <v>1.6358680416052125</v>
      </c>
      <c r="R102" s="139">
        <v>1.7405508217222083</v>
      </c>
      <c r="S102" s="130"/>
      <c r="T102" s="130"/>
      <c r="V102" s="130"/>
      <c r="W102" s="130"/>
      <c r="X102" s="130"/>
      <c r="Y102" s="130"/>
      <c r="Z102" s="130"/>
      <c r="AA102" s="130"/>
      <c r="AB102" s="130"/>
      <c r="AC102" s="130"/>
      <c r="AD102" s="130"/>
      <c r="AE102" s="130"/>
      <c r="AF102" s="130"/>
      <c r="AG102" s="130"/>
      <c r="AH102" s="130"/>
      <c r="AI102" s="130"/>
      <c r="AJ102" s="130"/>
      <c r="AK102" s="130"/>
      <c r="AL102" s="130"/>
      <c r="AM102" s="130"/>
      <c r="AN102" s="130"/>
      <c r="AO102" s="130"/>
      <c r="AP102" s="130"/>
      <c r="AQ102" s="130"/>
      <c r="AR102" s="130"/>
      <c r="AS102" s="130"/>
      <c r="AT102" s="130"/>
      <c r="AU102" s="130"/>
      <c r="AV102" s="130"/>
      <c r="AW102" s="130"/>
      <c r="AX102" s="130"/>
    </row>
    <row r="103" spans="1:50" ht="20" customHeight="1" x14ac:dyDescent="0.2">
      <c r="A103" s="198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  <c r="N103" s="130"/>
      <c r="O103" s="130"/>
      <c r="P103" s="140">
        <v>1.6153834263692814</v>
      </c>
      <c r="Q103" s="140">
        <v>0.85342810549449799</v>
      </c>
      <c r="R103" s="140">
        <v>0.68037514330413817</v>
      </c>
      <c r="S103" s="130"/>
      <c r="T103" s="130"/>
      <c r="V103" s="130"/>
      <c r="W103" s="130"/>
      <c r="X103" s="130"/>
      <c r="Y103" s="130"/>
      <c r="Z103" s="130"/>
      <c r="AA103" s="130"/>
      <c r="AB103" s="130"/>
      <c r="AC103" s="130"/>
      <c r="AD103" s="130"/>
      <c r="AE103" s="130"/>
      <c r="AF103" s="130"/>
      <c r="AG103" s="130"/>
      <c r="AH103" s="130"/>
      <c r="AI103" s="130"/>
      <c r="AJ103" s="130"/>
      <c r="AK103" s="130"/>
      <c r="AL103" s="130"/>
      <c r="AM103" s="130"/>
      <c r="AN103" s="130"/>
      <c r="AO103" s="130"/>
      <c r="AP103" s="130"/>
      <c r="AQ103" s="130"/>
      <c r="AR103" s="130"/>
      <c r="AS103" s="130"/>
      <c r="AT103" s="130"/>
      <c r="AU103" s="130"/>
      <c r="AV103" s="130"/>
      <c r="AW103" s="130"/>
      <c r="AX103" s="130"/>
    </row>
    <row r="104" spans="1:50" ht="20" customHeight="1" x14ac:dyDescent="0.2">
      <c r="A104" s="198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  <c r="N104" s="130"/>
      <c r="O104" s="130"/>
      <c r="P104" s="133" t="s">
        <v>252</v>
      </c>
      <c r="Q104" s="130"/>
      <c r="R104" s="130"/>
      <c r="S104" s="130"/>
      <c r="T104" s="130"/>
      <c r="V104" s="130"/>
      <c r="W104" s="130"/>
      <c r="X104" s="130"/>
      <c r="Y104" s="130"/>
      <c r="Z104" s="130"/>
      <c r="AA104" s="130"/>
      <c r="AB104" s="130"/>
      <c r="AC104" s="130"/>
      <c r="AD104" s="130"/>
      <c r="AE104" s="130"/>
      <c r="AF104" s="130"/>
      <c r="AG104" s="130"/>
      <c r="AH104" s="130"/>
      <c r="AI104" s="130"/>
      <c r="AJ104" s="130"/>
      <c r="AK104" s="130"/>
      <c r="AL104" s="130"/>
      <c r="AM104" s="130"/>
      <c r="AN104" s="130"/>
      <c r="AO104" s="130"/>
      <c r="AP104" s="130"/>
      <c r="AQ104" s="130"/>
      <c r="AR104" s="130"/>
      <c r="AS104" s="130"/>
      <c r="AT104" s="130"/>
      <c r="AU104" s="130"/>
      <c r="AV104" s="130"/>
      <c r="AW104" s="130"/>
      <c r="AX104" s="130"/>
    </row>
    <row r="105" spans="1:50" ht="20" customHeight="1" x14ac:dyDescent="0.2">
      <c r="A105" s="198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138" cm="1">
        <f t="array" ref="P105:R115">_xlfn.VSTACK((Blueprint!P83:R92-Blueprint!P94:R103)/(Blueprint!P83:R92+Blueprint!P94:R103), _xlfn.SEQUENCE(1,3)*0+1)</f>
        <v>-0.34750231528657188</v>
      </c>
      <c r="Q105" s="138">
        <v>-0.5081047128745928</v>
      </c>
      <c r="R105" s="138">
        <v>-0.70124643974900125</v>
      </c>
      <c r="S105" s="130"/>
      <c r="T105" s="130"/>
      <c r="V105" s="130"/>
      <c r="W105" s="130"/>
      <c r="X105" s="130"/>
      <c r="Y105" s="130"/>
      <c r="Z105" s="130"/>
      <c r="AA105" s="130"/>
      <c r="AB105" s="130"/>
      <c r="AC105" s="130"/>
      <c r="AD105" s="130"/>
      <c r="AE105" s="130"/>
      <c r="AF105" s="130"/>
      <c r="AG105" s="130"/>
      <c r="AH105" s="130"/>
      <c r="AI105" s="130"/>
      <c r="AJ105" s="130"/>
      <c r="AK105" s="130"/>
      <c r="AL105" s="130"/>
      <c r="AM105" s="130"/>
      <c r="AN105" s="130"/>
      <c r="AO105" s="130"/>
      <c r="AP105" s="130"/>
      <c r="AQ105" s="130"/>
      <c r="AR105" s="130"/>
      <c r="AS105" s="130"/>
      <c r="AT105" s="130"/>
      <c r="AU105" s="130"/>
      <c r="AV105" s="130"/>
      <c r="AW105" s="130"/>
      <c r="AX105" s="130"/>
    </row>
    <row r="106" spans="1:50" ht="20" customHeight="1" x14ac:dyDescent="0.2">
      <c r="A106" s="198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139">
        <v>0.62190327673865231</v>
      </c>
      <c r="Q106" s="139">
        <v>0.91589046155146214</v>
      </c>
      <c r="R106" s="139">
        <v>0.9445364946308189</v>
      </c>
      <c r="S106" s="130"/>
      <c r="T106" s="130"/>
      <c r="V106" s="130"/>
      <c r="W106" s="130"/>
      <c r="X106" s="130"/>
      <c r="Y106" s="130"/>
      <c r="Z106" s="130"/>
      <c r="AA106" s="130"/>
      <c r="AB106" s="130"/>
      <c r="AC106" s="130"/>
      <c r="AD106" s="130"/>
      <c r="AE106" s="130"/>
      <c r="AF106" s="130"/>
      <c r="AG106" s="130"/>
      <c r="AH106" s="130"/>
      <c r="AI106" s="130"/>
      <c r="AJ106" s="130"/>
      <c r="AK106" s="130"/>
      <c r="AL106" s="130"/>
      <c r="AM106" s="130"/>
      <c r="AN106" s="130"/>
      <c r="AO106" s="130"/>
      <c r="AP106" s="130"/>
      <c r="AQ106" s="130"/>
      <c r="AR106" s="130"/>
      <c r="AS106" s="130"/>
      <c r="AT106" s="130"/>
      <c r="AU106" s="130"/>
      <c r="AV106" s="130"/>
      <c r="AW106" s="130"/>
      <c r="AX106" s="130"/>
    </row>
    <row r="107" spans="1:50" ht="20" customHeight="1" x14ac:dyDescent="0.2">
      <c r="A107" s="198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9">
        <v>0.35655279162803211</v>
      </c>
      <c r="Q107" s="139">
        <v>0.56809032064554088</v>
      </c>
      <c r="R107" s="139">
        <v>0.63515072254892713</v>
      </c>
      <c r="S107" s="130"/>
      <c r="T107" s="130"/>
      <c r="V107" s="130"/>
      <c r="W107" s="130"/>
      <c r="X107" s="130"/>
      <c r="Y107" s="130"/>
      <c r="Z107" s="130"/>
      <c r="AA107" s="130"/>
      <c r="AB107" s="130"/>
      <c r="AC107" s="130"/>
      <c r="AD107" s="130"/>
      <c r="AE107" s="130"/>
      <c r="AF107" s="130"/>
      <c r="AG107" s="130"/>
      <c r="AH107" s="130"/>
      <c r="AI107" s="130"/>
      <c r="AJ107" s="130"/>
      <c r="AK107" s="130"/>
      <c r="AL107" s="130"/>
      <c r="AM107" s="130"/>
      <c r="AN107" s="130"/>
      <c r="AO107" s="130"/>
      <c r="AP107" s="130"/>
      <c r="AQ107" s="130"/>
      <c r="AR107" s="130"/>
      <c r="AS107" s="130"/>
      <c r="AT107" s="130"/>
      <c r="AU107" s="130"/>
      <c r="AV107" s="130"/>
      <c r="AW107" s="130"/>
      <c r="AX107" s="130"/>
    </row>
    <row r="108" spans="1:50" ht="20" customHeight="1" x14ac:dyDescent="0.2">
      <c r="A108" s="198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  <c r="N108" s="130"/>
      <c r="O108" s="130"/>
      <c r="P108" s="139">
        <v>0.46494070210550853</v>
      </c>
      <c r="Q108" s="139">
        <v>0.87843111230451254</v>
      </c>
      <c r="R108" s="139">
        <v>0.85616894532424048</v>
      </c>
      <c r="S108" s="130"/>
      <c r="T108" s="130"/>
      <c r="V108" s="130"/>
      <c r="W108" s="130"/>
      <c r="X108" s="130"/>
      <c r="Y108" s="130"/>
      <c r="Z108" s="130"/>
      <c r="AA108" s="130"/>
      <c r="AB108" s="130"/>
      <c r="AC108" s="130"/>
      <c r="AD108" s="130"/>
      <c r="AE108" s="130"/>
      <c r="AF108" s="130"/>
      <c r="AG108" s="130"/>
      <c r="AH108" s="130"/>
      <c r="AI108" s="130"/>
      <c r="AJ108" s="130"/>
      <c r="AK108" s="130"/>
      <c r="AL108" s="130"/>
      <c r="AM108" s="130"/>
      <c r="AN108" s="130"/>
      <c r="AO108" s="130"/>
      <c r="AP108" s="130"/>
      <c r="AQ108" s="130"/>
      <c r="AR108" s="130"/>
      <c r="AS108" s="130"/>
      <c r="AT108" s="130"/>
      <c r="AU108" s="130"/>
      <c r="AV108" s="130"/>
      <c r="AW108" s="130"/>
      <c r="AX108" s="130"/>
    </row>
    <row r="109" spans="1:50" ht="20" customHeight="1" x14ac:dyDescent="0.2">
      <c r="A109" s="198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139">
        <v>0.73653269432324964</v>
      </c>
      <c r="Q109" s="139">
        <v>0.5363976829419167</v>
      </c>
      <c r="R109" s="139">
        <v>0.33399930560407814</v>
      </c>
      <c r="S109" s="130"/>
      <c r="T109" s="130"/>
      <c r="V109" s="130"/>
      <c r="W109" s="130"/>
      <c r="X109" s="130"/>
      <c r="Y109" s="130"/>
      <c r="Z109" s="130"/>
      <c r="AA109" s="130"/>
      <c r="AB109" s="130"/>
      <c r="AC109" s="130"/>
      <c r="AD109" s="130"/>
      <c r="AE109" s="130"/>
      <c r="AF109" s="130"/>
      <c r="AG109" s="130"/>
      <c r="AH109" s="130"/>
      <c r="AI109" s="130"/>
      <c r="AJ109" s="130"/>
      <c r="AK109" s="130"/>
      <c r="AL109" s="130"/>
      <c r="AM109" s="130"/>
      <c r="AN109" s="130"/>
      <c r="AO109" s="130"/>
      <c r="AP109" s="130"/>
      <c r="AQ109" s="130"/>
      <c r="AR109" s="130"/>
      <c r="AS109" s="130"/>
      <c r="AT109" s="130"/>
      <c r="AU109" s="130"/>
      <c r="AV109" s="130"/>
      <c r="AW109" s="130"/>
      <c r="AX109" s="130"/>
    </row>
    <row r="110" spans="1:50" ht="20" customHeight="1" x14ac:dyDescent="0.2">
      <c r="A110" s="198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130"/>
      <c r="M110" s="130"/>
      <c r="N110" s="130"/>
      <c r="O110" s="130"/>
      <c r="P110" s="139">
        <v>-0.60018360722126596</v>
      </c>
      <c r="Q110" s="139">
        <v>-0.72934615664842861</v>
      </c>
      <c r="R110" s="139">
        <v>-0.82585061277886218</v>
      </c>
      <c r="S110" s="130"/>
      <c r="T110" s="130"/>
      <c r="V110" s="130"/>
      <c r="W110" s="130"/>
      <c r="X110" s="130"/>
      <c r="Y110" s="130"/>
      <c r="Z110" s="130"/>
      <c r="AA110" s="130"/>
      <c r="AB110" s="130"/>
      <c r="AC110" s="130"/>
      <c r="AD110" s="130"/>
      <c r="AE110" s="130"/>
      <c r="AF110" s="130"/>
      <c r="AG110" s="130"/>
      <c r="AH110" s="130"/>
      <c r="AI110" s="130"/>
      <c r="AJ110" s="130"/>
      <c r="AK110" s="130"/>
      <c r="AL110" s="130"/>
      <c r="AM110" s="130"/>
      <c r="AN110" s="130"/>
      <c r="AO110" s="130"/>
      <c r="AP110" s="130"/>
      <c r="AQ110" s="130"/>
      <c r="AR110" s="130"/>
      <c r="AS110" s="130"/>
      <c r="AT110" s="130"/>
      <c r="AU110" s="130"/>
      <c r="AV110" s="130"/>
      <c r="AW110" s="130"/>
      <c r="AX110" s="130"/>
    </row>
    <row r="111" spans="1:50" ht="20" customHeight="1" x14ac:dyDescent="0.2">
      <c r="A111" s="198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139">
        <v>3.4802577322918235E-2</v>
      </c>
      <c r="Q111" s="139">
        <v>0.66810671417851519</v>
      </c>
      <c r="R111" s="139">
        <v>0.71331863811643414</v>
      </c>
      <c r="S111" s="130"/>
      <c r="T111" s="130"/>
      <c r="V111" s="130"/>
      <c r="W111" s="130"/>
      <c r="X111" s="130"/>
      <c r="Y111" s="130"/>
      <c r="Z111" s="130"/>
      <c r="AA111" s="130"/>
      <c r="AB111" s="130"/>
      <c r="AC111" s="130"/>
      <c r="AD111" s="130"/>
      <c r="AE111" s="130"/>
      <c r="AF111" s="130"/>
      <c r="AG111" s="130"/>
      <c r="AH111" s="130"/>
      <c r="AI111" s="130"/>
      <c r="AJ111" s="130"/>
      <c r="AK111" s="130"/>
      <c r="AL111" s="130"/>
      <c r="AM111" s="130"/>
      <c r="AN111" s="130"/>
      <c r="AO111" s="130"/>
      <c r="AP111" s="130"/>
      <c r="AQ111" s="130"/>
      <c r="AR111" s="130"/>
      <c r="AS111" s="130"/>
      <c r="AT111" s="130"/>
      <c r="AU111" s="130"/>
      <c r="AV111" s="130"/>
      <c r="AW111" s="130"/>
      <c r="AX111" s="130"/>
    </row>
    <row r="112" spans="1:50" ht="20" customHeight="1" x14ac:dyDescent="0.2">
      <c r="A112" s="198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130"/>
      <c r="O112" s="130"/>
      <c r="P112" s="139">
        <v>0.32351673224776867</v>
      </c>
      <c r="Q112" s="139">
        <v>0.60009574706468893</v>
      </c>
      <c r="R112" s="139">
        <v>0.64891443934301474</v>
      </c>
      <c r="S112" s="130"/>
      <c r="T112" s="130"/>
      <c r="V112" s="130"/>
      <c r="W112" s="130"/>
      <c r="X112" s="130"/>
      <c r="Y112" s="130"/>
      <c r="Z112" s="130"/>
      <c r="AA112" s="130"/>
      <c r="AB112" s="130"/>
      <c r="AC112" s="130"/>
      <c r="AD112" s="130"/>
      <c r="AE112" s="130"/>
      <c r="AF112" s="130"/>
      <c r="AG112" s="130"/>
      <c r="AH112" s="130"/>
      <c r="AI112" s="130"/>
      <c r="AJ112" s="130"/>
      <c r="AK112" s="130"/>
      <c r="AL112" s="130"/>
      <c r="AM112" s="130"/>
      <c r="AN112" s="130"/>
      <c r="AO112" s="130"/>
      <c r="AP112" s="130"/>
      <c r="AQ112" s="130"/>
      <c r="AR112" s="130"/>
      <c r="AS112" s="130"/>
      <c r="AT112" s="130"/>
      <c r="AU112" s="130"/>
      <c r="AV112" s="130"/>
      <c r="AW112" s="130"/>
      <c r="AX112" s="130"/>
    </row>
    <row r="113" spans="1:62" ht="20" customHeight="1" x14ac:dyDescent="0.2">
      <c r="A113" s="198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130"/>
      <c r="O113" s="130"/>
      <c r="P113" s="139">
        <v>0.23027116574001316</v>
      </c>
      <c r="Q113" s="139">
        <v>-0.45593986823070393</v>
      </c>
      <c r="R113" s="139">
        <v>-0.50366261785269262</v>
      </c>
      <c r="S113" s="130"/>
      <c r="T113" s="130"/>
      <c r="V113" s="130"/>
      <c r="W113" s="130"/>
      <c r="X113" s="130"/>
      <c r="Y113" s="130"/>
      <c r="Z113" s="130"/>
      <c r="AA113" s="130"/>
      <c r="AB113" s="130"/>
      <c r="AC113" s="130"/>
      <c r="AD113" s="130"/>
      <c r="AE113" s="130"/>
      <c r="AF113" s="130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30"/>
      <c r="AT113" s="130"/>
      <c r="AU113" s="130"/>
      <c r="AV113" s="130"/>
      <c r="AW113" s="130"/>
      <c r="AX113" s="130"/>
    </row>
    <row r="114" spans="1:62" ht="20" customHeight="1" x14ac:dyDescent="0.2">
      <c r="A114" s="198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130"/>
      <c r="O114" s="130"/>
      <c r="P114" s="140">
        <v>-0.44590104963570376</v>
      </c>
      <c r="Q114" s="140">
        <v>0.15718003542736916</v>
      </c>
      <c r="R114" s="140">
        <v>0.36713778780160072</v>
      </c>
      <c r="S114" s="130"/>
      <c r="T114" s="130"/>
      <c r="V114" s="130"/>
      <c r="W114" s="130"/>
      <c r="X114" s="130"/>
      <c r="Y114" s="130"/>
      <c r="Z114" s="130"/>
      <c r="AA114" s="130"/>
      <c r="AB114" s="130"/>
      <c r="AC114" s="130"/>
      <c r="AD114" s="130"/>
      <c r="AE114" s="130"/>
      <c r="AF114" s="130"/>
      <c r="AG114" s="130"/>
      <c r="AH114" s="130"/>
      <c r="AI114" s="130"/>
      <c r="AJ114" s="130"/>
      <c r="AK114" s="130"/>
      <c r="AL114" s="130"/>
      <c r="AM114" s="130"/>
      <c r="AN114" s="130"/>
      <c r="AO114" s="130"/>
      <c r="AP114" s="130"/>
      <c r="AQ114" s="130"/>
      <c r="AR114" s="130"/>
      <c r="AS114" s="130"/>
      <c r="AT114" s="130"/>
      <c r="AU114" s="130"/>
      <c r="AV114" s="130"/>
      <c r="AW114" s="130"/>
      <c r="AX114" s="130"/>
    </row>
    <row r="115" spans="1:62" ht="20" customHeight="1" x14ac:dyDescent="0.2">
      <c r="A115" s="198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130">
        <v>1</v>
      </c>
      <c r="Q115" s="130">
        <v>1</v>
      </c>
      <c r="R115" s="130">
        <v>1</v>
      </c>
      <c r="S115" s="130"/>
      <c r="T115" s="141" t="str">
        <f>HYPERLINK("#Blueprint!torchcode", "&lt;/&gt;")</f>
        <v>&lt;/&gt;</v>
      </c>
      <c r="V115" s="141" t="str">
        <f>HYPERLINK("#Blueprint!torchcode", "&lt;/&gt;")</f>
        <v>&lt;/&gt;</v>
      </c>
      <c r="W115" s="130"/>
      <c r="X115" s="130"/>
      <c r="Y115" s="130"/>
      <c r="Z115" s="130"/>
      <c r="AA115" s="130"/>
      <c r="AB115" s="130"/>
      <c r="AC115" s="130"/>
      <c r="AD115" s="130"/>
      <c r="AE115" s="130"/>
      <c r="AF115" s="130"/>
      <c r="AG115" s="130"/>
      <c r="AH115" s="130"/>
      <c r="AI115" s="130"/>
      <c r="AJ115" s="130"/>
      <c r="AK115" s="130"/>
      <c r="AL115" s="130"/>
      <c r="AM115" s="130"/>
      <c r="AN115" s="130"/>
      <c r="AO115" s="130"/>
      <c r="AP115" s="130"/>
      <c r="AQ115" s="130"/>
      <c r="AR115" s="130"/>
      <c r="AS115" s="130"/>
      <c r="AT115" s="130"/>
      <c r="AU115" s="130"/>
      <c r="AV115" s="130"/>
      <c r="AW115" s="130"/>
      <c r="AX115" s="130"/>
    </row>
    <row r="116" spans="1:62" ht="20" customHeight="1" x14ac:dyDescent="0.2">
      <c r="A116" s="198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130"/>
      <c r="O116" s="130"/>
      <c r="P116" s="130"/>
      <c r="Q116" s="130"/>
      <c r="R116" s="130"/>
      <c r="S116" s="130"/>
      <c r="T116" s="142" t="str">
        <f>HYPERLINK("#X", "▲")</f>
        <v>▲</v>
      </c>
      <c r="V116" s="142" t="str">
        <f>HYPERLINK("#X", "▲")</f>
        <v>▲</v>
      </c>
      <c r="W116" s="130"/>
      <c r="X116" s="130"/>
      <c r="Y116" s="130"/>
      <c r="Z116" s="130"/>
      <c r="AA116" s="130"/>
      <c r="AB116" s="130"/>
      <c r="AC116" s="130"/>
      <c r="AD116" s="130"/>
      <c r="AE116" s="130"/>
      <c r="AF116" s="130"/>
      <c r="AG116" s="130"/>
      <c r="AH116" s="130"/>
      <c r="AI116" s="130"/>
      <c r="AJ116" s="130"/>
      <c r="AK116" s="130"/>
      <c r="AL116" s="130"/>
      <c r="AM116" s="130"/>
      <c r="AN116" s="130"/>
      <c r="AO116" s="130"/>
      <c r="AP116" s="130"/>
      <c r="AQ116" s="130"/>
      <c r="AR116" s="130"/>
      <c r="AS116" s="130"/>
      <c r="AT116" s="130"/>
      <c r="AU116" s="130"/>
      <c r="AV116" s="130"/>
      <c r="AW116" s="130"/>
      <c r="AX116" s="130"/>
    </row>
    <row r="117" spans="1:62" ht="20" customHeight="1" x14ac:dyDescent="0.2">
      <c r="P117" s="143" t="s">
        <v>117</v>
      </c>
      <c r="Q117" s="143" t="s">
        <v>117</v>
      </c>
      <c r="R117" s="143" t="s">
        <v>117</v>
      </c>
      <c r="AI117" s="160" t="s">
        <v>128</v>
      </c>
      <c r="AJ117" s="160" t="s">
        <v>128</v>
      </c>
      <c r="AK117" s="160" t="s">
        <v>128</v>
      </c>
    </row>
    <row r="118" spans="1:62" ht="20" customHeight="1" x14ac:dyDescent="0.2">
      <c r="A118" s="199" t="s">
        <v>257</v>
      </c>
      <c r="B118" s="123"/>
      <c r="C118" s="123"/>
      <c r="D118" s="123"/>
      <c r="E118" s="123"/>
      <c r="F118" s="123"/>
      <c r="G118" s="123"/>
      <c r="H118" s="123"/>
      <c r="I118" s="123"/>
      <c r="J118" s="123"/>
      <c r="K118" s="123"/>
      <c r="L118" s="123"/>
      <c r="M118" s="123"/>
      <c r="N118" s="123"/>
      <c r="O118" s="123"/>
      <c r="P118" s="144" t="s">
        <v>255</v>
      </c>
      <c r="Q118" s="123"/>
      <c r="R118" s="123"/>
      <c r="S118" s="123"/>
      <c r="T118" s="123"/>
      <c r="V118" s="123"/>
      <c r="W118" s="123"/>
      <c r="X118" s="123"/>
      <c r="Y118" s="123"/>
      <c r="Z118" s="123"/>
      <c r="AA118" s="123"/>
      <c r="AB118" s="123"/>
      <c r="AC118" s="123"/>
      <c r="AD118" s="123"/>
      <c r="AE118" s="123"/>
      <c r="AF118" s="123"/>
      <c r="AG118" s="123"/>
      <c r="AH118" s="123"/>
      <c r="AI118" s="144" t="s">
        <v>213</v>
      </c>
      <c r="AJ118" s="123"/>
      <c r="AK118" s="123"/>
      <c r="AL118" s="123"/>
      <c r="AM118" s="123"/>
      <c r="AN118" s="123"/>
      <c r="AO118" s="123"/>
      <c r="AP118" s="123"/>
      <c r="AQ118" s="123"/>
      <c r="AR118" s="123"/>
      <c r="AS118" s="123"/>
      <c r="AT118" s="123"/>
      <c r="AU118" s="123"/>
      <c r="AV118" s="123"/>
      <c r="AW118" s="144" t="s">
        <v>292</v>
      </c>
      <c r="AX118" s="123"/>
      <c r="AZ118" s="117" t="s">
        <v>294</v>
      </c>
    </row>
    <row r="119" spans="1:62" ht="20" customHeight="1" x14ac:dyDescent="0.2">
      <c r="A119" s="199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52" t="s">
        <v>254</v>
      </c>
      <c r="O119" s="123"/>
      <c r="P119" s="145" t="s">
        <v>256</v>
      </c>
      <c r="Q119" s="123"/>
      <c r="R119" s="123"/>
      <c r="S119" s="123"/>
      <c r="T119" s="123"/>
      <c r="V119" s="123"/>
      <c r="W119" s="123"/>
      <c r="X119" s="123"/>
      <c r="Y119" s="123"/>
      <c r="Z119" s="123"/>
      <c r="AA119" s="123"/>
      <c r="AB119" s="123"/>
      <c r="AC119" s="123"/>
      <c r="AD119" s="123"/>
      <c r="AE119" s="123"/>
      <c r="AF119" s="123"/>
      <c r="AG119" s="161" t="s">
        <v>290</v>
      </c>
      <c r="AH119" s="123"/>
      <c r="AI119" s="145" t="s">
        <v>291</v>
      </c>
      <c r="AJ119" s="123"/>
      <c r="AK119" s="123"/>
      <c r="AL119" s="123"/>
      <c r="AM119" s="123"/>
      <c r="AN119" s="123"/>
      <c r="AO119" s="123"/>
      <c r="AP119" s="123"/>
      <c r="AQ119" s="123"/>
      <c r="AR119" s="123"/>
      <c r="AS119" s="123"/>
      <c r="AT119" s="123"/>
      <c r="AU119" s="123"/>
      <c r="AV119" s="123"/>
      <c r="AW119" s="161" t="s">
        <v>293</v>
      </c>
      <c r="AX119" s="123"/>
      <c r="AZ119" s="129" t="s">
        <v>295</v>
      </c>
    </row>
    <row r="120" spans="1:62" ht="20" customHeight="1" x14ac:dyDescent="0.2">
      <c r="A120" s="199"/>
      <c r="B120" s="123"/>
      <c r="C120" s="123"/>
      <c r="D120" s="153">
        <v>-0.49530965043231845</v>
      </c>
      <c r="E120" s="154">
        <v>-0.82374990917742252</v>
      </c>
      <c r="F120" s="154">
        <v>0.15456239646300673</v>
      </c>
      <c r="G120" s="154">
        <v>-0.55489146802574396</v>
      </c>
      <c r="H120" s="154">
        <v>-0.24867960577830672</v>
      </c>
      <c r="I120" s="154">
        <v>-0.94867219030857086</v>
      </c>
      <c r="J120" s="154">
        <v>-0.10543742822483182</v>
      </c>
      <c r="K120" s="154">
        <v>-0.7630799924954772</v>
      </c>
      <c r="L120" s="154">
        <v>0.74762741150334477</v>
      </c>
      <c r="M120" s="154">
        <v>0.98926855064928532</v>
      </c>
      <c r="N120" s="155">
        <v>0.70640544733032584</v>
      </c>
      <c r="O120" s="156" t="s">
        <v>113</v>
      </c>
      <c r="P120" s="146" cm="1">
        <f t="array" ref="P120:R127">MMULT(Blueprint!D120:N127,Blueprint!P105:R115)</f>
        <v>3.0071302910491315E-2</v>
      </c>
      <c r="Q120" s="146">
        <v>-0.35124373552322252</v>
      </c>
      <c r="R120" s="146">
        <v>1.5431773249470204E-2</v>
      </c>
      <c r="S120" s="123"/>
      <c r="T120" s="123"/>
      <c r="V120" s="123"/>
      <c r="W120" s="123"/>
      <c r="X120" s="123"/>
      <c r="Y120" s="123"/>
      <c r="Z120" s="123"/>
      <c r="AA120" s="123"/>
      <c r="AB120" s="123"/>
      <c r="AC120" s="123"/>
      <c r="AD120" s="123"/>
      <c r="AE120" s="146" cm="1">
        <f t="array" ref="AE120:AG127">1-(X_6*X_6)</f>
        <v>0.99909626161418763</v>
      </c>
      <c r="AF120" s="146">
        <v>0.88610853795341604</v>
      </c>
      <c r="AG120" s="146">
        <v>0.99976189817626315</v>
      </c>
      <c r="AH120" s="156" t="s">
        <v>113</v>
      </c>
      <c r="AI120" s="146" cm="1">
        <f t="array" ref="AI120:AK127">G_6*MaskTanh_6</f>
        <v>0.15058231998856489</v>
      </c>
      <c r="AJ120" s="146">
        <v>0</v>
      </c>
      <c r="AK120" s="146">
        <v>0.52645374629477404</v>
      </c>
      <c r="AL120" s="156" t="s">
        <v>113</v>
      </c>
      <c r="AM120" s="153" cm="1">
        <f t="array" ref="AM120:AW127">MMULT(G_5, TRANSPOSE(X_4))</f>
        <v>-0.42150152011898401</v>
      </c>
      <c r="AN120" s="154">
        <v>0.59090241433032509</v>
      </c>
      <c r="AO120" s="154">
        <v>0.38806802390946371</v>
      </c>
      <c r="AP120" s="154">
        <v>0.52074519830735166</v>
      </c>
      <c r="AQ120" s="154">
        <v>0.28674398755374347</v>
      </c>
      <c r="AR120" s="154">
        <v>-0.52514918897175056</v>
      </c>
      <c r="AS120" s="154">
        <v>0.38076992217314942</v>
      </c>
      <c r="AT120" s="154">
        <v>0.3903393377138914</v>
      </c>
      <c r="AU120" s="154">
        <v>-0.23048030567358066</v>
      </c>
      <c r="AV120" s="154">
        <v>0.12613624925504802</v>
      </c>
      <c r="AW120" s="155">
        <v>0.6770360662833389</v>
      </c>
      <c r="AX120" s="123"/>
      <c r="AY120" s="128" t="s">
        <v>113</v>
      </c>
      <c r="AZ120" s="125" cm="1">
        <f t="array" ref="AZ120:BJ127">W_5 - lrate * dW_5</f>
        <v>-0.45315949842042003</v>
      </c>
      <c r="BA120" s="126">
        <v>-0.88284015061045507</v>
      </c>
      <c r="BB120" s="126">
        <v>0.11575559407206036</v>
      </c>
      <c r="BC120" s="126">
        <v>-0.60696598785647915</v>
      </c>
      <c r="BD120" s="126">
        <v>-0.27735400453368109</v>
      </c>
      <c r="BE120" s="126">
        <v>-0.89615727141139578</v>
      </c>
      <c r="BF120" s="126">
        <v>-0.14351442044214677</v>
      </c>
      <c r="BG120" s="126">
        <v>-0.80211392626686639</v>
      </c>
      <c r="BH120" s="126">
        <v>0.77067544207070282</v>
      </c>
      <c r="BI120" s="126">
        <v>0.97665492572378054</v>
      </c>
      <c r="BJ120" s="127">
        <v>0.63870184070199199</v>
      </c>
    </row>
    <row r="121" spans="1:62" ht="20" customHeight="1" x14ac:dyDescent="0.2">
      <c r="A121" s="199"/>
      <c r="B121" s="123"/>
      <c r="C121" s="123"/>
      <c r="D121" s="153">
        <v>-6.4654368907213211E-4</v>
      </c>
      <c r="E121" s="154">
        <v>0.28400189289823174</v>
      </c>
      <c r="F121" s="154">
        <v>0.72291237488389015</v>
      </c>
      <c r="G121" s="154">
        <v>0.19293955294415355</v>
      </c>
      <c r="H121" s="154">
        <v>-0.81849968712776899</v>
      </c>
      <c r="I121" s="154">
        <v>-0.71958040399476886</v>
      </c>
      <c r="J121" s="154">
        <v>0.90017655305564404</v>
      </c>
      <c r="K121" s="154">
        <v>0.84911089157685637</v>
      </c>
      <c r="L121" s="154">
        <v>0.77893791254609823</v>
      </c>
      <c r="M121" s="154">
        <v>0.10101673984900117</v>
      </c>
      <c r="N121" s="155">
        <v>-0.63896689563989639</v>
      </c>
      <c r="O121" s="156" t="s">
        <v>113</v>
      </c>
      <c r="P121" s="147">
        <v>0.15472346273439019</v>
      </c>
      <c r="Q121" s="147">
        <v>1.0591125357656084</v>
      </c>
      <c r="R121" s="147">
        <v>1.4128495897133755</v>
      </c>
      <c r="S121" s="123"/>
      <c r="T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47">
        <v>0.97643759270810471</v>
      </c>
      <c r="AF121" s="147">
        <v>0.38326627644490607</v>
      </c>
      <c r="AG121" s="147">
        <v>0.21128242734067249</v>
      </c>
      <c r="AH121" s="156" t="s">
        <v>113</v>
      </c>
      <c r="AI121" s="147">
        <v>3.5815671703040078E-2</v>
      </c>
      <c r="AJ121" s="147">
        <v>0.24426857082055703</v>
      </c>
      <c r="AK121" s="147">
        <v>0.15509679351667111</v>
      </c>
      <c r="AL121" s="156" t="s">
        <v>113</v>
      </c>
      <c r="AM121" s="153">
        <v>-0.24532111515146804</v>
      </c>
      <c r="AN121" s="154">
        <v>0.3924917193387889</v>
      </c>
      <c r="AO121" s="154">
        <v>0.25004662891796575</v>
      </c>
      <c r="AP121" s="154">
        <v>0.36401433404326716</v>
      </c>
      <c r="AQ121" s="154">
        <v>0.2092067299181046</v>
      </c>
      <c r="AR121" s="154">
        <v>-0.32773910432154052</v>
      </c>
      <c r="AS121" s="154">
        <v>0.27507738343935922</v>
      </c>
      <c r="AT121" s="154">
        <v>0.25881604837238242</v>
      </c>
      <c r="AU121" s="154">
        <v>-0.18124092056117158</v>
      </c>
      <c r="AV121" s="154">
        <v>7.9365790676406922E-2</v>
      </c>
      <c r="AW121" s="155">
        <v>0.4351810360402682</v>
      </c>
      <c r="AX121" s="123"/>
      <c r="AY121" s="128" t="s">
        <v>113</v>
      </c>
      <c r="AZ121" s="125">
        <v>2.3885567826074674E-2</v>
      </c>
      <c r="BA121" s="126">
        <v>0.24475272096435285</v>
      </c>
      <c r="BB121" s="126">
        <v>0.69790771199209356</v>
      </c>
      <c r="BC121" s="126">
        <v>0.15653811953982683</v>
      </c>
      <c r="BD121" s="126">
        <v>-0.83942036011957943</v>
      </c>
      <c r="BE121" s="126">
        <v>-0.68680649356261481</v>
      </c>
      <c r="BF121" s="126">
        <v>0.8726688147117081</v>
      </c>
      <c r="BG121" s="126">
        <v>0.82322928673961815</v>
      </c>
      <c r="BH121" s="126">
        <v>0.79706200460221543</v>
      </c>
      <c r="BI121" s="126">
        <v>9.3080160781360471E-2</v>
      </c>
      <c r="BJ121" s="127">
        <v>-0.68248499924392325</v>
      </c>
    </row>
    <row r="122" spans="1:62" ht="20" customHeight="1" x14ac:dyDescent="0.2">
      <c r="A122" s="199"/>
      <c r="B122" s="123"/>
      <c r="C122" s="123"/>
      <c r="D122" s="153">
        <v>0.10017094714567065</v>
      </c>
      <c r="E122" s="154">
        <v>-0.48206640686839819</v>
      </c>
      <c r="F122" s="154">
        <v>0.88624332519248128</v>
      </c>
      <c r="G122" s="154">
        <v>0.64300196059048176</v>
      </c>
      <c r="H122" s="154">
        <v>-0.68941218266263604</v>
      </c>
      <c r="I122" s="154">
        <v>0.65878942143172026</v>
      </c>
      <c r="J122" s="154">
        <v>-6.6155420150607824E-2</v>
      </c>
      <c r="K122" s="154">
        <v>-0.87859024479985237</v>
      </c>
      <c r="L122" s="154">
        <v>-0.95508952857926488</v>
      </c>
      <c r="M122" s="154">
        <v>7.4577544815838337E-2</v>
      </c>
      <c r="N122" s="155">
        <v>0.65992052899673581</v>
      </c>
      <c r="O122" s="156" t="s">
        <v>113</v>
      </c>
      <c r="P122" s="147">
        <v>-0.50263150292875691</v>
      </c>
      <c r="Q122" s="147">
        <v>0.26126607232012616</v>
      </c>
      <c r="R122" s="147">
        <v>0.36454159269510522</v>
      </c>
      <c r="S122" s="123"/>
      <c r="T122" s="123"/>
      <c r="V122" s="123"/>
      <c r="W122" s="123"/>
      <c r="X122" s="123"/>
      <c r="Y122" s="123"/>
      <c r="Z122" s="123"/>
      <c r="AA122" s="123"/>
      <c r="AB122" s="123"/>
      <c r="AC122" s="123"/>
      <c r="AD122" s="123"/>
      <c r="AE122" s="147">
        <v>0.78453304854706396</v>
      </c>
      <c r="AF122" s="147">
        <v>0.93473030117820233</v>
      </c>
      <c r="AG122" s="147">
        <v>0.87805370053018084</v>
      </c>
      <c r="AH122" s="156" t="s">
        <v>113</v>
      </c>
      <c r="AI122" s="147">
        <v>0</v>
      </c>
      <c r="AJ122" s="147">
        <v>1.7373098445324021E-2</v>
      </c>
      <c r="AK122" s="147">
        <v>5.2956303445872106E-2</v>
      </c>
      <c r="AL122" s="156" t="s">
        <v>113</v>
      </c>
      <c r="AM122" s="153">
        <v>-4.5962772450988981E-2</v>
      </c>
      <c r="AN122" s="154">
        <v>6.5931016379036797E-2</v>
      </c>
      <c r="AO122" s="154">
        <v>4.3504723463576575E-2</v>
      </c>
      <c r="AP122" s="154">
        <v>6.0600612661024539E-2</v>
      </c>
      <c r="AQ122" s="154">
        <v>2.7006258329873752E-2</v>
      </c>
      <c r="AR122" s="154">
        <v>-5.6404998231448712E-2</v>
      </c>
      <c r="AS122" s="154">
        <v>4.9381801971095415E-2</v>
      </c>
      <c r="AT122" s="154">
        <v>4.4789632450631764E-2</v>
      </c>
      <c r="AU122" s="154">
        <v>-3.4593198641269592E-2</v>
      </c>
      <c r="AV122" s="154">
        <v>2.2172964326386969E-2</v>
      </c>
      <c r="AW122" s="155">
        <v>7.0329401891196131E-2</v>
      </c>
      <c r="AX122" s="123"/>
      <c r="AY122" s="128" t="s">
        <v>113</v>
      </c>
      <c r="AZ122" s="125">
        <v>0.10476722439076955</v>
      </c>
      <c r="BA122" s="126">
        <v>-0.48865950850630185</v>
      </c>
      <c r="BB122" s="126">
        <v>0.88189285284612362</v>
      </c>
      <c r="BC122" s="126">
        <v>0.63694189932437928</v>
      </c>
      <c r="BD122" s="126">
        <v>-0.6921128084956234</v>
      </c>
      <c r="BE122" s="126">
        <v>0.66442992125486511</v>
      </c>
      <c r="BF122" s="126">
        <v>-7.1093600347717362E-2</v>
      </c>
      <c r="BG122" s="126">
        <v>-0.88306920804491551</v>
      </c>
      <c r="BH122" s="126">
        <v>-0.95163020871513793</v>
      </c>
      <c r="BI122" s="126">
        <v>7.2360248383199641E-2</v>
      </c>
      <c r="BJ122" s="127">
        <v>0.65288758880761621</v>
      </c>
    </row>
    <row r="123" spans="1:62" ht="20" customHeight="1" x14ac:dyDescent="0.2">
      <c r="A123" s="199"/>
      <c r="B123" s="123"/>
      <c r="C123" s="123"/>
      <c r="D123" s="153">
        <v>0.69066423736512661</v>
      </c>
      <c r="E123" s="154">
        <v>0.36183613305911422</v>
      </c>
      <c r="F123" s="154">
        <v>-0.23848383221775293</v>
      </c>
      <c r="G123" s="154">
        <v>0.17131369048729539</v>
      </c>
      <c r="H123" s="154">
        <v>0.39279431104660034</v>
      </c>
      <c r="I123" s="154">
        <v>0.42273078812286258</v>
      </c>
      <c r="J123" s="154">
        <v>0.43723615352064371</v>
      </c>
      <c r="K123" s="154">
        <v>0.98057489516213536</v>
      </c>
      <c r="L123" s="154">
        <v>-0.10049430094659328</v>
      </c>
      <c r="M123" s="154">
        <v>-0.80414718249812722</v>
      </c>
      <c r="N123" s="155">
        <v>-0.61681174952536821</v>
      </c>
      <c r="O123" s="156" t="s">
        <v>113</v>
      </c>
      <c r="P123" s="147">
        <v>6.6294763784147559E-2</v>
      </c>
      <c r="Q123" s="147">
        <v>8.1027270858742506E-2</v>
      </c>
      <c r="R123" s="147">
        <v>-0.27850901327401728</v>
      </c>
      <c r="S123" s="123"/>
      <c r="T123" s="123"/>
      <c r="V123" s="123"/>
      <c r="W123" s="123"/>
      <c r="X123" s="123"/>
      <c r="Y123" s="123"/>
      <c r="Z123" s="123"/>
      <c r="AA123" s="123"/>
      <c r="AB123" s="123"/>
      <c r="AC123" s="123"/>
      <c r="AD123" s="123"/>
      <c r="AE123" s="147">
        <v>0.99561784962196787</v>
      </c>
      <c r="AF123" s="147">
        <v>0.99346321131151583</v>
      </c>
      <c r="AG123" s="147">
        <v>0.92627440374411052</v>
      </c>
      <c r="AH123" s="156" t="s">
        <v>113</v>
      </c>
      <c r="AI123" s="147">
        <v>-2.4559370066991631E-2</v>
      </c>
      <c r="AJ123" s="147">
        <v>-0.19773805418802096</v>
      </c>
      <c r="AK123" s="147">
        <v>0</v>
      </c>
      <c r="AL123" s="156" t="s">
        <v>113</v>
      </c>
      <c r="AM123" s="153">
        <v>0.10900607520784439</v>
      </c>
      <c r="AN123" s="154">
        <v>-0.19637995043585382</v>
      </c>
      <c r="AO123" s="154">
        <v>-0.12108978656550996</v>
      </c>
      <c r="AP123" s="154">
        <v>-0.18511790964752933</v>
      </c>
      <c r="AQ123" s="154">
        <v>-0.12415501310222071</v>
      </c>
      <c r="AR123" s="154">
        <v>0.15895962116306081</v>
      </c>
      <c r="AS123" s="154">
        <v>-0.13296485102737052</v>
      </c>
      <c r="AT123" s="154">
        <v>-0.12660713250121516</v>
      </c>
      <c r="AU123" s="154">
        <v>8.4501347595515516E-2</v>
      </c>
      <c r="AV123" s="154">
        <v>-2.0129425471348925E-2</v>
      </c>
      <c r="AW123" s="155">
        <v>-0.22229742425501259</v>
      </c>
      <c r="AX123" s="123"/>
      <c r="AY123" s="128" t="s">
        <v>113</v>
      </c>
      <c r="AZ123" s="125">
        <v>0.67976362984434213</v>
      </c>
      <c r="BA123" s="126">
        <v>0.38147412810269959</v>
      </c>
      <c r="BB123" s="126">
        <v>-0.22637485356120193</v>
      </c>
      <c r="BC123" s="126">
        <v>0.18982548145204833</v>
      </c>
      <c r="BD123" s="126">
        <v>0.40520981235682241</v>
      </c>
      <c r="BE123" s="126">
        <v>0.40683482600655652</v>
      </c>
      <c r="BF123" s="126">
        <v>0.45053263862338078</v>
      </c>
      <c r="BG123" s="126">
        <v>0.99323560841225689</v>
      </c>
      <c r="BH123" s="126">
        <v>-0.10894443570614484</v>
      </c>
      <c r="BI123" s="126">
        <v>-0.80213423995099231</v>
      </c>
      <c r="BJ123" s="127">
        <v>-0.59458200709986697</v>
      </c>
    </row>
    <row r="124" spans="1:62" ht="20" customHeight="1" x14ac:dyDescent="0.2">
      <c r="A124" s="199"/>
      <c r="B124" s="123"/>
      <c r="C124" s="123"/>
      <c r="D124" s="153">
        <v>-0.10524276783689857</v>
      </c>
      <c r="E124" s="154">
        <v>-0.74599776789546013</v>
      </c>
      <c r="F124" s="154">
        <v>0.53752975491806865</v>
      </c>
      <c r="G124" s="154">
        <v>0.18744094390422106</v>
      </c>
      <c r="H124" s="154">
        <v>0.60928811924532056</v>
      </c>
      <c r="I124" s="154">
        <v>-0.2211772371083498</v>
      </c>
      <c r="J124" s="154">
        <v>-0.56846183026209474</v>
      </c>
      <c r="K124" s="154">
        <v>-0.45588106755167246</v>
      </c>
      <c r="L124" s="154">
        <v>-0.96183050191029906</v>
      </c>
      <c r="M124" s="154">
        <v>-0.44405629485845566</v>
      </c>
      <c r="N124" s="155">
        <v>-0.33206332521513104</v>
      </c>
      <c r="O124" s="156" t="s">
        <v>113</v>
      </c>
      <c r="P124" s="147">
        <v>-8.9861198182632968E-2</v>
      </c>
      <c r="Q124" s="147">
        <v>-0.28831167514565781</v>
      </c>
      <c r="R124" s="147">
        <v>-0.45474363580245392</v>
      </c>
      <c r="S124" s="123"/>
      <c r="T124" s="123"/>
      <c r="V124" s="123"/>
      <c r="W124" s="123"/>
      <c r="X124" s="123"/>
      <c r="Y124" s="123"/>
      <c r="Z124" s="123"/>
      <c r="AA124" s="123"/>
      <c r="AB124" s="123"/>
      <c r="AC124" s="123"/>
      <c r="AD124" s="123"/>
      <c r="AE124" s="147">
        <v>0.99196823777159704</v>
      </c>
      <c r="AF124" s="147">
        <v>0.92127478532155416</v>
      </c>
      <c r="AG124" s="147">
        <v>0.81870248211861807</v>
      </c>
      <c r="AH124" s="156" t="s">
        <v>113</v>
      </c>
      <c r="AI124" s="147">
        <v>0</v>
      </c>
      <c r="AJ124" s="147">
        <v>0</v>
      </c>
      <c r="AK124" s="147">
        <v>0</v>
      </c>
      <c r="AL124" s="156" t="s">
        <v>113</v>
      </c>
      <c r="AM124" s="153">
        <v>0</v>
      </c>
      <c r="AN124" s="154">
        <v>0</v>
      </c>
      <c r="AO124" s="154">
        <v>0</v>
      </c>
      <c r="AP124" s="154">
        <v>0</v>
      </c>
      <c r="AQ124" s="154">
        <v>0</v>
      </c>
      <c r="AR124" s="154">
        <v>0</v>
      </c>
      <c r="AS124" s="154">
        <v>0</v>
      </c>
      <c r="AT124" s="154">
        <v>0</v>
      </c>
      <c r="AU124" s="154">
        <v>0</v>
      </c>
      <c r="AV124" s="154">
        <v>0</v>
      </c>
      <c r="AW124" s="155">
        <v>0</v>
      </c>
      <c r="AX124" s="123"/>
      <c r="AY124" s="128" t="s">
        <v>113</v>
      </c>
      <c r="AZ124" s="125">
        <v>-0.10524276783689857</v>
      </c>
      <c r="BA124" s="126">
        <v>-0.74599776789546013</v>
      </c>
      <c r="BB124" s="126">
        <v>0.53752975491806865</v>
      </c>
      <c r="BC124" s="126">
        <v>0.18744094390422106</v>
      </c>
      <c r="BD124" s="126">
        <v>0.60928811924532056</v>
      </c>
      <c r="BE124" s="126">
        <v>-0.2211772371083498</v>
      </c>
      <c r="BF124" s="126">
        <v>-0.56846183026209474</v>
      </c>
      <c r="BG124" s="126">
        <v>-0.45588106755167246</v>
      </c>
      <c r="BH124" s="126">
        <v>-0.96183050191029906</v>
      </c>
      <c r="BI124" s="126">
        <v>-0.44405629485845566</v>
      </c>
      <c r="BJ124" s="127">
        <v>-0.33206332521513104</v>
      </c>
    </row>
    <row r="125" spans="1:62" ht="20" customHeight="1" x14ac:dyDescent="0.2">
      <c r="A125" s="199"/>
      <c r="B125" s="123"/>
      <c r="C125" s="123"/>
      <c r="D125" s="153">
        <v>0.7657322296872735</v>
      </c>
      <c r="E125" s="154">
        <v>0.91175615461543202</v>
      </c>
      <c r="F125" s="154">
        <v>-0.61460280232131481</v>
      </c>
      <c r="G125" s="154">
        <v>0.7426020591519773</v>
      </c>
      <c r="H125" s="154">
        <v>0.16464589070528746</v>
      </c>
      <c r="I125" s="154">
        <v>-0.32663783570751548</v>
      </c>
      <c r="J125" s="154">
        <v>-0.37134510651230812</v>
      </c>
      <c r="K125" s="154">
        <v>-0.74128145398572087</v>
      </c>
      <c r="L125" s="154">
        <v>0.95994036365300417</v>
      </c>
      <c r="M125" s="154">
        <v>-0.79405453754588962</v>
      </c>
      <c r="N125" s="155">
        <v>0.84302737377583981</v>
      </c>
      <c r="O125" s="156" t="s">
        <v>113</v>
      </c>
      <c r="P125" s="147">
        <v>1.9097707429360324</v>
      </c>
      <c r="Q125" s="147">
        <v>0.66332394838549114</v>
      </c>
      <c r="R125" s="147">
        <v>0.21649128628639347</v>
      </c>
      <c r="S125" s="123"/>
      <c r="T125" s="123"/>
      <c r="V125" s="123"/>
      <c r="W125" s="123"/>
      <c r="X125" s="123"/>
      <c r="Y125" s="123"/>
      <c r="Z125" s="123"/>
      <c r="AA125" s="123"/>
      <c r="AB125" s="123"/>
      <c r="AC125" s="123"/>
      <c r="AD125" s="123"/>
      <c r="AE125" s="147">
        <v>8.4024362296860278E-2</v>
      </c>
      <c r="AF125" s="147">
        <v>0.66293704219048089</v>
      </c>
      <c r="AG125" s="147">
        <v>0.95455799355947468</v>
      </c>
      <c r="AH125" s="156" t="s">
        <v>113</v>
      </c>
      <c r="AI125" s="147">
        <v>-2.9702955957198172E-3</v>
      </c>
      <c r="AJ125" s="147">
        <v>0.15853850253312615</v>
      </c>
      <c r="AK125" s="147">
        <v>0.13589984883905232</v>
      </c>
      <c r="AL125" s="156" t="s">
        <v>113</v>
      </c>
      <c r="AM125" s="153">
        <v>-0.17482126087337671</v>
      </c>
      <c r="AN125" s="154">
        <v>0.27171903253817864</v>
      </c>
      <c r="AO125" s="154">
        <v>0.17532200873650722</v>
      </c>
      <c r="AP125" s="154">
        <v>0.25423737205378605</v>
      </c>
      <c r="AQ125" s="154">
        <v>0.12824242074174072</v>
      </c>
      <c r="AR125" s="154">
        <v>-0.22607969821846624</v>
      </c>
      <c r="AS125" s="154">
        <v>0.20275715915014922</v>
      </c>
      <c r="AT125" s="154">
        <v>0.18236471500739029</v>
      </c>
      <c r="AU125" s="154">
        <v>-0.14141567101592778</v>
      </c>
      <c r="AV125" s="154">
        <v>7.6137515233960201E-2</v>
      </c>
      <c r="AW125" s="155">
        <v>0.29146805577645862</v>
      </c>
      <c r="AX125" s="123"/>
      <c r="AY125" s="128" t="s">
        <v>113</v>
      </c>
      <c r="AZ125" s="125">
        <v>0.78321435577461118</v>
      </c>
      <c r="BA125" s="126">
        <v>0.88458425136161412</v>
      </c>
      <c r="BB125" s="126">
        <v>-0.63213500319496552</v>
      </c>
      <c r="BC125" s="126">
        <v>0.7171783219465987</v>
      </c>
      <c r="BD125" s="126">
        <v>0.15182164863111339</v>
      </c>
      <c r="BE125" s="126">
        <v>-0.30402986588566883</v>
      </c>
      <c r="BF125" s="126">
        <v>-0.39162082242732305</v>
      </c>
      <c r="BG125" s="126">
        <v>-0.75951792548645991</v>
      </c>
      <c r="BH125" s="126">
        <v>0.97408193075459693</v>
      </c>
      <c r="BI125" s="126">
        <v>-0.80166828906928567</v>
      </c>
      <c r="BJ125" s="127">
        <v>0.81388056819819399</v>
      </c>
    </row>
    <row r="126" spans="1:62" ht="20" customHeight="1" x14ac:dyDescent="0.2">
      <c r="A126" s="199"/>
      <c r="B126" s="123"/>
      <c r="C126" s="123"/>
      <c r="D126" s="153">
        <v>0.61147017544135451</v>
      </c>
      <c r="E126" s="154">
        <v>-0.13408753369003534</v>
      </c>
      <c r="F126" s="154">
        <v>0.42012053960934281</v>
      </c>
      <c r="G126" s="154">
        <v>-0.38667081296443939</v>
      </c>
      <c r="H126" s="154">
        <v>-0.76281368779018521</v>
      </c>
      <c r="I126" s="154">
        <v>1.8466987647116184E-2</v>
      </c>
      <c r="J126" s="154">
        <v>-0.76525073824450374</v>
      </c>
      <c r="K126" s="154">
        <v>-0.51294048689305782</v>
      </c>
      <c r="L126" s="154">
        <v>0.20819027861580253</v>
      </c>
      <c r="M126" s="154">
        <v>0.39564891438931227</v>
      </c>
      <c r="N126" s="155">
        <v>-1.8640184309333563E-2</v>
      </c>
      <c r="O126" s="156" t="s">
        <v>113</v>
      </c>
      <c r="P126" s="147">
        <v>-1.2384791908234698</v>
      </c>
      <c r="Q126" s="147">
        <v>-1.8275948354884528</v>
      </c>
      <c r="R126" s="147">
        <v>-1.7466500262750548</v>
      </c>
      <c r="S126" s="123"/>
      <c r="T126" s="123"/>
      <c r="V126" s="123"/>
      <c r="W126" s="123"/>
      <c r="X126" s="123"/>
      <c r="Y126" s="123"/>
      <c r="Z126" s="123"/>
      <c r="AA126" s="123"/>
      <c r="AB126" s="123"/>
      <c r="AC126" s="123"/>
      <c r="AD126" s="123"/>
      <c r="AE126" s="147">
        <v>0.28593901012244594</v>
      </c>
      <c r="AF126" s="147">
        <v>9.8278377780625537E-2</v>
      </c>
      <c r="AG126" s="147">
        <v>0.11453204928762217</v>
      </c>
      <c r="AH126" s="156" t="s">
        <v>113</v>
      </c>
      <c r="AI126" s="147">
        <v>0</v>
      </c>
      <c r="AJ126" s="147">
        <v>0</v>
      </c>
      <c r="AK126" s="147">
        <v>0</v>
      </c>
      <c r="AL126" s="156" t="s">
        <v>113</v>
      </c>
      <c r="AM126" s="153">
        <v>0</v>
      </c>
      <c r="AN126" s="154">
        <v>0</v>
      </c>
      <c r="AO126" s="154">
        <v>0</v>
      </c>
      <c r="AP126" s="154">
        <v>0</v>
      </c>
      <c r="AQ126" s="154">
        <v>0</v>
      </c>
      <c r="AR126" s="154">
        <v>0</v>
      </c>
      <c r="AS126" s="154">
        <v>0</v>
      </c>
      <c r="AT126" s="154">
        <v>0</v>
      </c>
      <c r="AU126" s="154">
        <v>0</v>
      </c>
      <c r="AV126" s="154">
        <v>0</v>
      </c>
      <c r="AW126" s="155">
        <v>0</v>
      </c>
      <c r="AX126" s="123"/>
      <c r="AY126" s="128" t="s">
        <v>113</v>
      </c>
      <c r="AZ126" s="125">
        <v>0.61147017544135451</v>
      </c>
      <c r="BA126" s="126">
        <v>-0.13408753369003534</v>
      </c>
      <c r="BB126" s="126">
        <v>0.42012053960934281</v>
      </c>
      <c r="BC126" s="126">
        <v>-0.38667081296443939</v>
      </c>
      <c r="BD126" s="126">
        <v>-0.76281368779018521</v>
      </c>
      <c r="BE126" s="126">
        <v>1.8466987647116184E-2</v>
      </c>
      <c r="BF126" s="126">
        <v>-0.76525073824450374</v>
      </c>
      <c r="BG126" s="126">
        <v>-0.51294048689305782</v>
      </c>
      <c r="BH126" s="126">
        <v>0.20819027861580253</v>
      </c>
      <c r="BI126" s="126">
        <v>0.39564891438931227</v>
      </c>
      <c r="BJ126" s="127">
        <v>-1.8640184309333563E-2</v>
      </c>
    </row>
    <row r="127" spans="1:62" ht="20" customHeight="1" x14ac:dyDescent="0.2">
      <c r="A127" s="199"/>
      <c r="B127" s="123"/>
      <c r="C127" s="123"/>
      <c r="D127" s="153">
        <v>-0.58065154775977135</v>
      </c>
      <c r="E127" s="154">
        <v>-0.54539888771250844</v>
      </c>
      <c r="F127" s="154">
        <v>0.38856628257781267</v>
      </c>
      <c r="G127" s="154">
        <v>0.76364377932623029</v>
      </c>
      <c r="H127" s="154">
        <v>0.63391893915832043</v>
      </c>
      <c r="I127" s="154">
        <v>0.39433844899758697</v>
      </c>
      <c r="J127" s="154">
        <v>0.67895365413278341</v>
      </c>
      <c r="K127" s="154">
        <v>-0.19671868300065398</v>
      </c>
      <c r="L127" s="154">
        <v>-0.69368571788072586</v>
      </c>
      <c r="M127" s="154">
        <v>-0.74741946952417493</v>
      </c>
      <c r="N127" s="155">
        <v>7.9626218415796757E-2</v>
      </c>
      <c r="O127" s="156" t="s">
        <v>113</v>
      </c>
      <c r="P127" s="148">
        <v>0.79956549801408938</v>
      </c>
      <c r="Q127" s="148">
        <v>1.3534679898663009</v>
      </c>
      <c r="R127" s="148">
        <v>1.1899613115257837</v>
      </c>
      <c r="S127" s="123"/>
      <c r="T127" s="149" t="str">
        <f>HYPERLINK("#Blueprint!torchcode", "&lt;/&gt;")</f>
        <v>&lt;/&gt;</v>
      </c>
      <c r="V127" s="149" t="str">
        <f>HYPERLINK("#Blueprint!torchcode", "&lt;/&gt;")</f>
        <v>&lt;/&gt;</v>
      </c>
      <c r="W127" s="123"/>
      <c r="X127" s="123"/>
      <c r="Y127" s="123"/>
      <c r="Z127" s="123"/>
      <c r="AA127" s="123"/>
      <c r="AB127" s="123"/>
      <c r="AC127" s="123"/>
      <c r="AD127" s="123"/>
      <c r="AE127" s="148">
        <v>0.55937780489317501</v>
      </c>
      <c r="AF127" s="148">
        <v>0.23460359678258658</v>
      </c>
      <c r="AG127" s="148">
        <v>0.31015867552453957</v>
      </c>
      <c r="AH127" s="156" t="s">
        <v>113</v>
      </c>
      <c r="AI127" s="148">
        <v>-1.2838608711830875E-2</v>
      </c>
      <c r="AJ127" s="148">
        <v>-8.2335977176558009E-2</v>
      </c>
      <c r="AK127" s="148">
        <v>-0.10567043956580016</v>
      </c>
      <c r="AL127" s="156" t="s">
        <v>113</v>
      </c>
      <c r="AM127" s="153">
        <v>0.12039776382719297</v>
      </c>
      <c r="AN127" s="154">
        <v>-0.18320469553876007</v>
      </c>
      <c r="AO127" s="154">
        <v>-0.11846856949399875</v>
      </c>
      <c r="AP127" s="154">
        <v>-0.16876742455741939</v>
      </c>
      <c r="AQ127" s="154">
        <v>-8.8914735884005947E-2</v>
      </c>
      <c r="AR127" s="154">
        <v>0.15502494826401214</v>
      </c>
      <c r="AS127" s="154">
        <v>-0.1308327298827611</v>
      </c>
      <c r="AT127" s="154">
        <v>-0.12213404851709815</v>
      </c>
      <c r="AU127" s="154">
        <v>8.7806143411328572E-2</v>
      </c>
      <c r="AV127" s="154">
        <v>-4.6012434127301584E-2</v>
      </c>
      <c r="AW127" s="155">
        <v>-0.20084502545418903</v>
      </c>
      <c r="AX127" s="123"/>
      <c r="AY127" s="128" t="s">
        <v>113</v>
      </c>
      <c r="AZ127" s="125">
        <v>-0.59269132414249059</v>
      </c>
      <c r="BA127" s="126">
        <v>-0.52707841815863243</v>
      </c>
      <c r="BB127" s="126">
        <v>0.40041313952721252</v>
      </c>
      <c r="BC127" s="126">
        <v>0.78052052178197218</v>
      </c>
      <c r="BD127" s="126">
        <v>0.64281041274672102</v>
      </c>
      <c r="BE127" s="126">
        <v>0.37883595417118576</v>
      </c>
      <c r="BF127" s="126">
        <v>0.69203692712105958</v>
      </c>
      <c r="BG127" s="126">
        <v>-0.18450527814894416</v>
      </c>
      <c r="BH127" s="126">
        <v>-0.70246633222185872</v>
      </c>
      <c r="BI127" s="126">
        <v>-0.74281822611144477</v>
      </c>
      <c r="BJ127" s="127">
        <v>9.9710720961215665E-2</v>
      </c>
    </row>
    <row r="128" spans="1:62" ht="20" customHeight="1" x14ac:dyDescent="0.2">
      <c r="A128" s="199"/>
      <c r="B128" s="123"/>
      <c r="C128" s="123"/>
      <c r="D128" s="123"/>
      <c r="E128" s="123"/>
      <c r="F128" s="123"/>
      <c r="G128" s="123"/>
      <c r="H128" s="123"/>
      <c r="I128" s="123"/>
      <c r="J128" s="123"/>
      <c r="K128" s="123"/>
      <c r="L128" s="123"/>
      <c r="M128" s="123"/>
      <c r="N128" s="123"/>
      <c r="O128" s="123"/>
      <c r="P128" s="123"/>
      <c r="Q128" s="123"/>
      <c r="R128" s="123"/>
      <c r="S128" s="123"/>
      <c r="T128" s="150" t="str">
        <f>HYPERLINK("#X", "▲")</f>
        <v>▲</v>
      </c>
      <c r="V128" s="150" t="str">
        <f>HYPERLINK("#X", "▲")</f>
        <v>▲</v>
      </c>
      <c r="W128" s="123"/>
      <c r="X128" s="123"/>
      <c r="Y128" s="123"/>
      <c r="Z128" s="123"/>
      <c r="AA128" s="123"/>
      <c r="AB128" s="123"/>
      <c r="AC128" s="123"/>
      <c r="AD128" s="123"/>
      <c r="AE128" s="123"/>
      <c r="AF128" s="123"/>
      <c r="AG128" s="123"/>
      <c r="AH128" s="123"/>
      <c r="AI128" s="123"/>
      <c r="AJ128" s="123"/>
      <c r="AK128" s="123"/>
      <c r="AL128" s="123"/>
      <c r="AM128" s="123"/>
      <c r="AN128" s="123"/>
      <c r="AO128" s="123"/>
      <c r="AP128" s="123"/>
      <c r="AQ128" s="123"/>
      <c r="AR128" s="123"/>
      <c r="AS128" s="123"/>
      <c r="AT128" s="123"/>
      <c r="AU128" s="123"/>
      <c r="AV128" s="123"/>
      <c r="AW128" s="123"/>
      <c r="AX128" s="123"/>
    </row>
    <row r="129" spans="1:50" ht="20" customHeight="1" x14ac:dyDescent="0.2">
      <c r="P129" s="143" t="s">
        <v>117</v>
      </c>
      <c r="Q129" s="143" t="s">
        <v>117</v>
      </c>
      <c r="R129" s="143" t="s">
        <v>117</v>
      </c>
      <c r="AI129" s="160" t="s">
        <v>128</v>
      </c>
      <c r="AJ129" s="160" t="s">
        <v>128</v>
      </c>
      <c r="AK129" s="160" t="s">
        <v>128</v>
      </c>
    </row>
    <row r="130" spans="1:50" ht="20" customHeight="1" x14ac:dyDescent="0.2">
      <c r="A130" s="198" t="s">
        <v>262</v>
      </c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130"/>
      <c r="M130" s="130"/>
      <c r="N130" s="130"/>
      <c r="O130" s="130"/>
      <c r="P130" s="131" t="s">
        <v>258</v>
      </c>
      <c r="Q130" s="130"/>
      <c r="R130" s="130"/>
      <c r="S130" s="130"/>
      <c r="T130" s="130"/>
      <c r="V130" s="130"/>
      <c r="W130" s="130"/>
      <c r="X130" s="130"/>
      <c r="Y130" s="130"/>
      <c r="Z130" s="130"/>
      <c r="AA130" s="130"/>
      <c r="AB130" s="130"/>
      <c r="AC130" s="130"/>
      <c r="AD130" s="130"/>
      <c r="AE130" s="130"/>
      <c r="AF130" s="130"/>
      <c r="AG130" s="130"/>
      <c r="AH130" s="130"/>
      <c r="AI130" s="131" t="s">
        <v>212</v>
      </c>
      <c r="AJ130" s="130"/>
      <c r="AK130" s="130"/>
      <c r="AL130" s="130"/>
      <c r="AM130" s="130"/>
      <c r="AN130" s="130"/>
      <c r="AO130" s="130"/>
      <c r="AP130" s="130"/>
      <c r="AQ130" s="130"/>
      <c r="AR130" s="130"/>
      <c r="AS130" s="130"/>
      <c r="AT130" s="130"/>
      <c r="AU130" s="130"/>
      <c r="AV130" s="130"/>
      <c r="AW130" s="130"/>
      <c r="AX130" s="130"/>
    </row>
    <row r="131" spans="1:50" ht="20" customHeight="1" x14ac:dyDescent="0.2">
      <c r="A131" s="198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130"/>
      <c r="M131" s="130"/>
      <c r="N131" s="130"/>
      <c r="O131" s="130"/>
      <c r="P131" s="133" t="s">
        <v>259</v>
      </c>
      <c r="Q131" s="130"/>
      <c r="R131" s="130"/>
      <c r="S131" s="130"/>
      <c r="T131" s="130"/>
      <c r="V131" s="130"/>
      <c r="W131" s="130"/>
      <c r="X131" s="130"/>
      <c r="Y131" s="130"/>
      <c r="Z131" s="130"/>
      <c r="AA131" s="130"/>
      <c r="AB131" s="130"/>
      <c r="AC131" s="130"/>
      <c r="AD131" s="130"/>
      <c r="AE131" s="130"/>
      <c r="AF131" s="130"/>
      <c r="AG131" s="162" t="s">
        <v>288</v>
      </c>
      <c r="AH131" s="130"/>
      <c r="AI131" s="133" t="s">
        <v>289</v>
      </c>
      <c r="AJ131" s="130"/>
      <c r="AK131" s="130"/>
      <c r="AL131" s="130"/>
      <c r="AM131" s="130"/>
      <c r="AN131" s="130"/>
      <c r="AO131" s="130"/>
      <c r="AP131" s="130"/>
      <c r="AQ131" s="130"/>
      <c r="AR131" s="130"/>
      <c r="AS131" s="130"/>
      <c r="AT131" s="130"/>
      <c r="AU131" s="130"/>
      <c r="AV131" s="130"/>
      <c r="AW131" s="130"/>
      <c r="AX131" s="130"/>
    </row>
    <row r="132" spans="1:50" ht="20" customHeight="1" x14ac:dyDescent="0.2">
      <c r="A132" s="198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130"/>
      <c r="M132" s="130"/>
      <c r="N132" s="130"/>
      <c r="O132" s="130"/>
      <c r="P132" s="138" cm="1">
        <f t="array" ref="P132:R139">EXP(Blueprint!P120:R127)</f>
        <v>1.0305280109804484</v>
      </c>
      <c r="Q132" s="138">
        <v>0.7038121889161193</v>
      </c>
      <c r="R132" s="138">
        <v>1.0155514579186475</v>
      </c>
      <c r="S132" s="130"/>
      <c r="T132" s="130"/>
      <c r="V132" s="130"/>
      <c r="W132" s="130"/>
      <c r="X132" s="130"/>
      <c r="Y132" s="130"/>
      <c r="Z132" s="130"/>
      <c r="AA132" s="130"/>
      <c r="AB132" s="130"/>
      <c r="AC132" s="130"/>
      <c r="AD132" s="130"/>
      <c r="AE132" s="138" cm="1">
        <f t="array" ref="AE132:AG139">IF(X_7&gt;0, 1,0)</f>
        <v>1</v>
      </c>
      <c r="AF132" s="138">
        <v>0</v>
      </c>
      <c r="AG132" s="138">
        <v>1</v>
      </c>
      <c r="AH132" s="137" t="s">
        <v>113</v>
      </c>
      <c r="AI132" s="138" cm="1">
        <f t="array" ref="AI132:AK139">G_7 *MaskReLU_7</f>
        <v>0.15071853010967823</v>
      </c>
      <c r="AJ132" s="138">
        <v>0</v>
      </c>
      <c r="AK132" s="138">
        <v>0.52657912574495569</v>
      </c>
      <c r="AL132" s="130"/>
      <c r="AM132" s="130"/>
      <c r="AN132" s="130"/>
      <c r="AO132" s="130"/>
      <c r="AP132" s="130"/>
      <c r="AQ132" s="130"/>
      <c r="AR132" s="130"/>
      <c r="AS132" s="130"/>
      <c r="AT132" s="130"/>
      <c r="AU132" s="130"/>
      <c r="AV132" s="130"/>
      <c r="AW132" s="130"/>
      <c r="AX132" s="130"/>
    </row>
    <row r="133" spans="1:50" ht="20" customHeight="1" x14ac:dyDescent="0.2">
      <c r="A133" s="198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130"/>
      <c r="M133" s="130"/>
      <c r="N133" s="130"/>
      <c r="O133" s="130"/>
      <c r="P133" s="139">
        <v>1.1673351048083498</v>
      </c>
      <c r="Q133" s="139">
        <v>2.8838105745540861</v>
      </c>
      <c r="R133" s="139">
        <v>4.1076438421742214</v>
      </c>
      <c r="S133" s="130"/>
      <c r="T133" s="130"/>
      <c r="V133" s="130"/>
      <c r="W133" s="130"/>
      <c r="X133" s="130"/>
      <c r="Y133" s="130"/>
      <c r="Z133" s="130"/>
      <c r="AA133" s="130"/>
      <c r="AB133" s="130"/>
      <c r="AC133" s="130"/>
      <c r="AD133" s="130"/>
      <c r="AE133" s="139">
        <v>1</v>
      </c>
      <c r="AF133" s="139">
        <v>1</v>
      </c>
      <c r="AG133" s="139">
        <v>1</v>
      </c>
      <c r="AH133" s="137" t="s">
        <v>113</v>
      </c>
      <c r="AI133" s="139">
        <v>3.6679939374012586E-2</v>
      </c>
      <c r="AJ133" s="139">
        <v>0.63733384811817706</v>
      </c>
      <c r="AK133" s="139">
        <v>0.73407332293940619</v>
      </c>
      <c r="AL133" s="130"/>
      <c r="AM133" s="130"/>
      <c r="AN133" s="130"/>
      <c r="AO133" s="130"/>
      <c r="AP133" s="130"/>
      <c r="AQ133" s="130"/>
      <c r="AR133" s="130"/>
      <c r="AS133" s="130"/>
      <c r="AT133" s="130"/>
      <c r="AU133" s="130"/>
      <c r="AV133" s="130"/>
      <c r="AW133" s="130"/>
      <c r="AX133" s="130"/>
    </row>
    <row r="134" spans="1:50" ht="20" customHeight="1" x14ac:dyDescent="0.2">
      <c r="A134" s="198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9">
        <v>0.60493667071841095</v>
      </c>
      <c r="Q134" s="139">
        <v>1.2985731338384359</v>
      </c>
      <c r="R134" s="139">
        <v>1.439853817334785</v>
      </c>
      <c r="S134" s="130"/>
      <c r="T134" s="130"/>
      <c r="V134" s="130"/>
      <c r="W134" s="130"/>
      <c r="X134" s="130"/>
      <c r="Y134" s="130"/>
      <c r="Z134" s="130"/>
      <c r="AA134" s="130"/>
      <c r="AB134" s="130"/>
      <c r="AC134" s="130"/>
      <c r="AD134" s="130"/>
      <c r="AE134" s="139">
        <v>0</v>
      </c>
      <c r="AF134" s="139">
        <v>1</v>
      </c>
      <c r="AG134" s="139">
        <v>1</v>
      </c>
      <c r="AH134" s="137" t="s">
        <v>113</v>
      </c>
      <c r="AI134" s="139">
        <v>0</v>
      </c>
      <c r="AJ134" s="139">
        <v>1.8586215107636608E-2</v>
      </c>
      <c r="AK134" s="139">
        <v>6.0311007645541911E-2</v>
      </c>
      <c r="AL134" s="130"/>
      <c r="AM134" s="130"/>
      <c r="AN134" s="130"/>
      <c r="AO134" s="130"/>
      <c r="AP134" s="130"/>
      <c r="AQ134" s="130"/>
      <c r="AR134" s="130"/>
      <c r="AS134" s="130"/>
      <c r="AT134" s="130"/>
      <c r="AU134" s="130"/>
      <c r="AV134" s="130"/>
      <c r="AW134" s="130"/>
      <c r="AX134" s="130"/>
    </row>
    <row r="135" spans="1:50" ht="20" customHeight="1" x14ac:dyDescent="0.2">
      <c r="A135" s="198"/>
      <c r="B135" s="130"/>
      <c r="C135" s="130"/>
      <c r="D135" s="130"/>
      <c r="E135" s="130"/>
      <c r="F135" s="130"/>
      <c r="G135" s="130"/>
      <c r="H135" s="130"/>
      <c r="I135" s="130"/>
      <c r="J135" s="130"/>
      <c r="K135" s="130"/>
      <c r="L135" s="130"/>
      <c r="M135" s="130"/>
      <c r="N135" s="130"/>
      <c r="O135" s="130"/>
      <c r="P135" s="139">
        <v>1.0685416381268396</v>
      </c>
      <c r="Q135" s="139">
        <v>1.084400468695532</v>
      </c>
      <c r="R135" s="139">
        <v>0.75691144546889566</v>
      </c>
      <c r="S135" s="130"/>
      <c r="T135" s="130"/>
      <c r="V135" s="130"/>
      <c r="W135" s="130"/>
      <c r="X135" s="130"/>
      <c r="Y135" s="130"/>
      <c r="Z135" s="130"/>
      <c r="AA135" s="130"/>
      <c r="AB135" s="130"/>
      <c r="AC135" s="130"/>
      <c r="AD135" s="130"/>
      <c r="AE135" s="139">
        <v>1</v>
      </c>
      <c r="AF135" s="139">
        <v>1</v>
      </c>
      <c r="AG135" s="139">
        <v>0</v>
      </c>
      <c r="AH135" s="137" t="s">
        <v>113</v>
      </c>
      <c r="AI135" s="139">
        <v>-2.4667466615144282E-2</v>
      </c>
      <c r="AJ135" s="139">
        <v>-0.19903913092763445</v>
      </c>
      <c r="AK135" s="139">
        <v>0</v>
      </c>
      <c r="AL135" s="130"/>
      <c r="AM135" s="130"/>
      <c r="AN135" s="130"/>
      <c r="AO135" s="130"/>
      <c r="AP135" s="130"/>
      <c r="AQ135" s="130"/>
      <c r="AR135" s="130"/>
      <c r="AS135" s="130"/>
      <c r="AT135" s="130"/>
      <c r="AU135" s="130"/>
      <c r="AV135" s="130"/>
      <c r="AW135" s="130"/>
      <c r="AX135" s="130"/>
    </row>
    <row r="136" spans="1:50" ht="20" customHeight="1" x14ac:dyDescent="0.2">
      <c r="A136" s="198"/>
      <c r="B136" s="130"/>
      <c r="C136" s="130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9">
        <v>0.91405804938497337</v>
      </c>
      <c r="Q136" s="139">
        <v>0.74952794659823252</v>
      </c>
      <c r="R136" s="139">
        <v>0.63461063854298327</v>
      </c>
      <c r="S136" s="130"/>
      <c r="T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9">
        <v>0</v>
      </c>
      <c r="AF136" s="139">
        <v>0</v>
      </c>
      <c r="AG136" s="139">
        <v>0</v>
      </c>
      <c r="AH136" s="137" t="s">
        <v>113</v>
      </c>
      <c r="AI136" s="139">
        <v>0</v>
      </c>
      <c r="AJ136" s="139">
        <v>0</v>
      </c>
      <c r="AK136" s="139">
        <v>0</v>
      </c>
      <c r="AL136" s="130"/>
      <c r="AM136" s="130"/>
      <c r="AN136" s="130"/>
      <c r="AO136" s="130"/>
      <c r="AP136" s="130"/>
      <c r="AQ136" s="130"/>
      <c r="AR136" s="130"/>
      <c r="AS136" s="130"/>
      <c r="AT136" s="130"/>
      <c r="AU136" s="130"/>
      <c r="AV136" s="130"/>
      <c r="AW136" s="130"/>
      <c r="AX136" s="130"/>
    </row>
    <row r="137" spans="1:50" ht="20" customHeight="1" x14ac:dyDescent="0.2">
      <c r="A137" s="198"/>
      <c r="B137" s="130"/>
      <c r="C137" s="130"/>
      <c r="D137" s="130"/>
      <c r="E137" s="130"/>
      <c r="F137" s="130"/>
      <c r="G137" s="130"/>
      <c r="H137" s="130"/>
      <c r="I137" s="130"/>
      <c r="J137" s="130"/>
      <c r="K137" s="130"/>
      <c r="L137" s="130"/>
      <c r="M137" s="130"/>
      <c r="N137" s="130"/>
      <c r="O137" s="130"/>
      <c r="P137" s="139">
        <v>6.7515407826741889</v>
      </c>
      <c r="Q137" s="139">
        <v>1.941234184515735</v>
      </c>
      <c r="R137" s="139">
        <v>1.2417122653816257</v>
      </c>
      <c r="S137" s="130"/>
      <c r="T137" s="130"/>
      <c r="V137" s="130"/>
      <c r="W137" s="130"/>
      <c r="X137" s="130"/>
      <c r="Y137" s="130"/>
      <c r="Z137" s="130"/>
      <c r="AA137" s="130"/>
      <c r="AB137" s="130"/>
      <c r="AC137" s="130"/>
      <c r="AD137" s="130"/>
      <c r="AE137" s="139">
        <v>1</v>
      </c>
      <c r="AF137" s="139">
        <v>1</v>
      </c>
      <c r="AG137" s="139">
        <v>1</v>
      </c>
      <c r="AH137" s="137" t="s">
        <v>113</v>
      </c>
      <c r="AI137" s="139">
        <v>-3.535040926851292E-2</v>
      </c>
      <c r="AJ137" s="139">
        <v>0.23914563894224738</v>
      </c>
      <c r="AK137" s="139">
        <v>0.14236940003225163</v>
      </c>
      <c r="AL137" s="130"/>
      <c r="AM137" s="130"/>
      <c r="AN137" s="130"/>
      <c r="AO137" s="130"/>
      <c r="AP137" s="130"/>
      <c r="AQ137" s="130"/>
      <c r="AR137" s="130"/>
      <c r="AS137" s="130"/>
      <c r="AT137" s="130"/>
      <c r="AU137" s="130"/>
      <c r="AV137" s="130"/>
      <c r="AW137" s="130"/>
      <c r="AX137" s="130"/>
    </row>
    <row r="138" spans="1:50" ht="20" customHeight="1" x14ac:dyDescent="0.2">
      <c r="A138" s="198"/>
      <c r="B138" s="130"/>
      <c r="C138" s="130"/>
      <c r="D138" s="130"/>
      <c r="E138" s="130"/>
      <c r="F138" s="130"/>
      <c r="G138" s="130"/>
      <c r="H138" s="130"/>
      <c r="I138" s="130"/>
      <c r="J138" s="130"/>
      <c r="K138" s="130"/>
      <c r="L138" s="130"/>
      <c r="M138" s="130"/>
      <c r="N138" s="130"/>
      <c r="O138" s="130"/>
      <c r="P138" s="139">
        <v>0.28982465093561843</v>
      </c>
      <c r="Q138" s="139">
        <v>0.16079985314927703</v>
      </c>
      <c r="R138" s="139">
        <v>0.17435705775856494</v>
      </c>
      <c r="S138" s="130"/>
      <c r="T138" s="130"/>
      <c r="V138" s="130"/>
      <c r="W138" s="130"/>
      <c r="X138" s="130"/>
      <c r="Y138" s="130"/>
      <c r="Z138" s="130"/>
      <c r="AA138" s="130"/>
      <c r="AB138" s="130"/>
      <c r="AC138" s="130"/>
      <c r="AD138" s="130"/>
      <c r="AE138" s="139">
        <v>0</v>
      </c>
      <c r="AF138" s="139">
        <v>0</v>
      </c>
      <c r="AG138" s="139">
        <v>0</v>
      </c>
      <c r="AH138" s="137" t="s">
        <v>113</v>
      </c>
      <c r="AI138" s="139">
        <v>0</v>
      </c>
      <c r="AJ138" s="139">
        <v>0</v>
      </c>
      <c r="AK138" s="139">
        <v>0</v>
      </c>
      <c r="AL138" s="130"/>
      <c r="AM138" s="130"/>
      <c r="AN138" s="130"/>
      <c r="AO138" s="130"/>
      <c r="AP138" s="130"/>
      <c r="AQ138" s="130"/>
      <c r="AR138" s="130"/>
      <c r="AS138" s="130"/>
      <c r="AT138" s="130"/>
      <c r="AU138" s="130"/>
      <c r="AV138" s="130"/>
      <c r="AW138" s="130"/>
      <c r="AX138" s="130"/>
    </row>
    <row r="139" spans="1:50" ht="20" customHeight="1" x14ac:dyDescent="0.2">
      <c r="A139" s="198"/>
      <c r="B139" s="130"/>
      <c r="C139" s="130"/>
      <c r="D139" s="130"/>
      <c r="E139" s="130"/>
      <c r="F139" s="130"/>
      <c r="G139" s="130"/>
      <c r="H139" s="130"/>
      <c r="I139" s="130"/>
      <c r="J139" s="130"/>
      <c r="K139" s="130"/>
      <c r="L139" s="130"/>
      <c r="M139" s="130"/>
      <c r="N139" s="130"/>
      <c r="O139" s="130"/>
      <c r="P139" s="140">
        <v>2.224574136591023</v>
      </c>
      <c r="Q139" s="140">
        <v>3.8708262667249818</v>
      </c>
      <c r="R139" s="140">
        <v>3.2869540376865962</v>
      </c>
      <c r="S139" s="130"/>
      <c r="T139" s="130"/>
      <c r="V139" s="130"/>
      <c r="W139" s="130"/>
      <c r="X139" s="130"/>
      <c r="Y139" s="130"/>
      <c r="Z139" s="130"/>
      <c r="AA139" s="130"/>
      <c r="AB139" s="130"/>
      <c r="AC139" s="130"/>
      <c r="AD139" s="130"/>
      <c r="AE139" s="140">
        <v>1</v>
      </c>
      <c r="AF139" s="140">
        <v>1</v>
      </c>
      <c r="AG139" s="140">
        <v>1</v>
      </c>
      <c r="AH139" s="137" t="s">
        <v>113</v>
      </c>
      <c r="AI139" s="140">
        <v>-2.2951587638130686E-2</v>
      </c>
      <c r="AJ139" s="140">
        <v>-0.35095786384239008</v>
      </c>
      <c r="AK139" s="140">
        <v>-0.34069799720124089</v>
      </c>
      <c r="AL139" s="130"/>
      <c r="AM139" s="130"/>
      <c r="AN139" s="130"/>
      <c r="AO139" s="130"/>
      <c r="AP139" s="130"/>
      <c r="AQ139" s="130"/>
      <c r="AR139" s="130"/>
      <c r="AS139" s="130"/>
      <c r="AT139" s="130"/>
      <c r="AU139" s="130"/>
      <c r="AV139" s="130"/>
      <c r="AW139" s="130"/>
      <c r="AX139" s="130"/>
    </row>
    <row r="140" spans="1:50" ht="20" customHeight="1" x14ac:dyDescent="0.2">
      <c r="A140" s="198"/>
      <c r="B140" s="130"/>
      <c r="C140" s="130"/>
      <c r="D140" s="130"/>
      <c r="E140" s="130"/>
      <c r="F140" s="130"/>
      <c r="G140" s="130"/>
      <c r="H140" s="130"/>
      <c r="I140" s="130"/>
      <c r="J140" s="130"/>
      <c r="K140" s="130"/>
      <c r="L140" s="130"/>
      <c r="M140" s="130"/>
      <c r="N140" s="130"/>
      <c r="O140" s="130"/>
      <c r="P140" s="133" t="s">
        <v>260</v>
      </c>
      <c r="Q140" s="130"/>
      <c r="R140" s="130"/>
      <c r="S140" s="130"/>
      <c r="T140" s="130"/>
      <c r="V140" s="130"/>
      <c r="W140" s="130"/>
      <c r="X140" s="130"/>
      <c r="Y140" s="130"/>
      <c r="Z140" s="130"/>
      <c r="AA140" s="130"/>
      <c r="AB140" s="130"/>
      <c r="AC140" s="130"/>
      <c r="AD140" s="130"/>
      <c r="AE140" s="130"/>
      <c r="AF140" s="130"/>
      <c r="AG140" s="130"/>
      <c r="AH140" s="130"/>
      <c r="AI140" s="130"/>
      <c r="AJ140" s="130"/>
      <c r="AK140" s="130"/>
      <c r="AL140" s="130"/>
      <c r="AM140" s="130"/>
      <c r="AN140" s="130"/>
      <c r="AO140" s="130"/>
      <c r="AP140" s="130"/>
      <c r="AQ140" s="130"/>
      <c r="AR140" s="130"/>
      <c r="AS140" s="130"/>
      <c r="AT140" s="130"/>
      <c r="AU140" s="130"/>
      <c r="AV140" s="130"/>
      <c r="AW140" s="130"/>
      <c r="AX140" s="130"/>
    </row>
    <row r="141" spans="1:50" ht="20" customHeight="1" x14ac:dyDescent="0.2">
      <c r="A141" s="198"/>
      <c r="B141" s="130"/>
      <c r="C141" s="130"/>
      <c r="D141" s="130"/>
      <c r="E141" s="130"/>
      <c r="F141" s="130"/>
      <c r="G141" s="130"/>
      <c r="H141" s="130"/>
      <c r="I141" s="130"/>
      <c r="J141" s="130"/>
      <c r="K141" s="130"/>
      <c r="L141" s="130"/>
      <c r="M141" s="130"/>
      <c r="N141" s="130"/>
      <c r="O141" s="130"/>
      <c r="P141" s="138" cm="1">
        <f t="array" ref="P141:R148">EXP(-Blueprint!P120:R127)</f>
        <v>0.97037634042435772</v>
      </c>
      <c r="Q141" s="138">
        <v>1.4208335913306847</v>
      </c>
      <c r="R141" s="138">
        <v>0.98468668643288648</v>
      </c>
      <c r="S141" s="130"/>
      <c r="T141" s="130"/>
      <c r="V141" s="130"/>
      <c r="W141" s="130"/>
      <c r="X141" s="130"/>
      <c r="Y141" s="130"/>
      <c r="Z141" s="130"/>
      <c r="AA141" s="130"/>
      <c r="AB141" s="130"/>
      <c r="AC141" s="130"/>
      <c r="AD141" s="130"/>
      <c r="AE141" s="130"/>
      <c r="AF141" s="130"/>
      <c r="AG141" s="130"/>
      <c r="AH141" s="130"/>
      <c r="AI141" s="130"/>
      <c r="AJ141" s="130"/>
      <c r="AK141" s="130"/>
      <c r="AL141" s="130"/>
      <c r="AM141" s="130"/>
      <c r="AN141" s="130"/>
      <c r="AO141" s="130"/>
      <c r="AP141" s="130"/>
      <c r="AQ141" s="130"/>
      <c r="AR141" s="130"/>
      <c r="AS141" s="130"/>
      <c r="AT141" s="130"/>
      <c r="AU141" s="130"/>
      <c r="AV141" s="130"/>
      <c r="AW141" s="130"/>
      <c r="AX141" s="130"/>
    </row>
    <row r="142" spans="1:50" ht="20" customHeight="1" x14ac:dyDescent="0.2">
      <c r="A142" s="198"/>
      <c r="B142" s="130"/>
      <c r="C142" s="130"/>
      <c r="D142" s="130"/>
      <c r="E142" s="130"/>
      <c r="F142" s="130"/>
      <c r="G142" s="130"/>
      <c r="H142" s="130"/>
      <c r="I142" s="130"/>
      <c r="J142" s="130"/>
      <c r="K142" s="130"/>
      <c r="L142" s="130"/>
      <c r="M142" s="130"/>
      <c r="N142" s="130"/>
      <c r="O142" s="130"/>
      <c r="P142" s="139">
        <v>0.85665204094429903</v>
      </c>
      <c r="Q142" s="139">
        <v>0.3467634139439365</v>
      </c>
      <c r="R142" s="139">
        <v>0.24344856526574829</v>
      </c>
      <c r="S142" s="130"/>
      <c r="T142" s="130"/>
      <c r="V142" s="130"/>
      <c r="W142" s="130"/>
      <c r="X142" s="130"/>
      <c r="Y142" s="130"/>
      <c r="Z142" s="130"/>
      <c r="AA142" s="130"/>
      <c r="AB142" s="130"/>
      <c r="AC142" s="130"/>
      <c r="AD142" s="130"/>
      <c r="AE142" s="130"/>
      <c r="AF142" s="130"/>
      <c r="AG142" s="130"/>
      <c r="AH142" s="130"/>
      <c r="AI142" s="130"/>
      <c r="AJ142" s="130"/>
      <c r="AK142" s="130"/>
      <c r="AL142" s="130"/>
      <c r="AM142" s="130"/>
      <c r="AN142" s="130"/>
      <c r="AO142" s="130"/>
      <c r="AP142" s="130"/>
      <c r="AQ142" s="130"/>
      <c r="AR142" s="130"/>
      <c r="AS142" s="130"/>
      <c r="AT142" s="130"/>
      <c r="AU142" s="130"/>
      <c r="AV142" s="130"/>
      <c r="AW142" s="130"/>
      <c r="AX142" s="130"/>
    </row>
    <row r="143" spans="1:50" ht="20" customHeight="1" x14ac:dyDescent="0.2">
      <c r="A143" s="198"/>
      <c r="B143" s="130"/>
      <c r="C143" s="130"/>
      <c r="D143" s="130"/>
      <c r="E143" s="130"/>
      <c r="F143" s="130"/>
      <c r="G143" s="130"/>
      <c r="H143" s="130"/>
      <c r="I143" s="130"/>
      <c r="J143" s="130"/>
      <c r="K143" s="130"/>
      <c r="L143" s="130"/>
      <c r="M143" s="130"/>
      <c r="N143" s="130"/>
      <c r="O143" s="130"/>
      <c r="P143" s="139">
        <v>1.6530655991021665</v>
      </c>
      <c r="Q143" s="139">
        <v>0.77007599644704861</v>
      </c>
      <c r="R143" s="139">
        <v>0.69451494864321128</v>
      </c>
      <c r="S143" s="130"/>
      <c r="T143" s="130"/>
      <c r="V143" s="130"/>
      <c r="W143" s="130"/>
      <c r="X143" s="130"/>
      <c r="Y143" s="130"/>
      <c r="Z143" s="130"/>
      <c r="AA143" s="130"/>
      <c r="AB143" s="130"/>
      <c r="AC143" s="130"/>
      <c r="AD143" s="130"/>
      <c r="AE143" s="130"/>
      <c r="AF143" s="130"/>
      <c r="AG143" s="130"/>
      <c r="AH143" s="130"/>
      <c r="AI143" s="130"/>
      <c r="AJ143" s="130"/>
      <c r="AK143" s="130"/>
      <c r="AL143" s="130"/>
      <c r="AM143" s="130"/>
      <c r="AN143" s="130"/>
      <c r="AO143" s="130"/>
      <c r="AP143" s="130"/>
      <c r="AQ143" s="130"/>
      <c r="AR143" s="130"/>
      <c r="AS143" s="130"/>
      <c r="AT143" s="130"/>
      <c r="AU143" s="130"/>
      <c r="AV143" s="130"/>
      <c r="AW143" s="130"/>
      <c r="AX143" s="130"/>
    </row>
    <row r="144" spans="1:50" ht="20" customHeight="1" x14ac:dyDescent="0.2">
      <c r="A144" s="198"/>
      <c r="B144" s="130"/>
      <c r="C144" s="130"/>
      <c r="D144" s="130"/>
      <c r="E144" s="130"/>
      <c r="F144" s="130"/>
      <c r="G144" s="130"/>
      <c r="H144" s="130"/>
      <c r="I144" s="130"/>
      <c r="J144" s="130"/>
      <c r="K144" s="130"/>
      <c r="L144" s="130"/>
      <c r="M144" s="130"/>
      <c r="N144" s="130"/>
      <c r="O144" s="130"/>
      <c r="P144" s="139">
        <v>0.93585496747979469</v>
      </c>
      <c r="Q144" s="139">
        <v>0.92216854277362992</v>
      </c>
      <c r="R144" s="139">
        <v>1.3211585133060242</v>
      </c>
      <c r="S144" s="130"/>
      <c r="T144" s="130"/>
      <c r="V144" s="130"/>
      <c r="W144" s="130"/>
      <c r="X144" s="130"/>
      <c r="Y144" s="130"/>
      <c r="Z144" s="130"/>
      <c r="AA144" s="130"/>
      <c r="AB144" s="130"/>
      <c r="AC144" s="130"/>
      <c r="AD144" s="130"/>
      <c r="AE144" s="130"/>
      <c r="AF144" s="130"/>
      <c r="AG144" s="130"/>
      <c r="AH144" s="130"/>
      <c r="AI144" s="130"/>
      <c r="AJ144" s="130"/>
      <c r="AK144" s="130"/>
      <c r="AL144" s="130"/>
      <c r="AM144" s="130"/>
      <c r="AN144" s="130"/>
      <c r="AO144" s="130"/>
      <c r="AP144" s="130"/>
      <c r="AQ144" s="130"/>
      <c r="AR144" s="130"/>
      <c r="AS144" s="130"/>
      <c r="AT144" s="130"/>
      <c r="AU144" s="130"/>
      <c r="AV144" s="130"/>
      <c r="AW144" s="130"/>
      <c r="AX144" s="130"/>
    </row>
    <row r="145" spans="1:50" ht="20" customHeight="1" x14ac:dyDescent="0.2">
      <c r="A145" s="198"/>
      <c r="B145" s="130"/>
      <c r="C145" s="130"/>
      <c r="D145" s="130"/>
      <c r="E145" s="130"/>
      <c r="F145" s="130"/>
      <c r="G145" s="130"/>
      <c r="H145" s="130"/>
      <c r="I145" s="130"/>
      <c r="J145" s="130"/>
      <c r="K145" s="130"/>
      <c r="L145" s="130"/>
      <c r="M145" s="130"/>
      <c r="N145" s="130"/>
      <c r="O145" s="130"/>
      <c r="P145" s="139">
        <v>1.0940224208657787</v>
      </c>
      <c r="Q145" s="139">
        <v>1.3341730679136736</v>
      </c>
      <c r="R145" s="139">
        <v>1.5757693604001382</v>
      </c>
      <c r="S145" s="130"/>
      <c r="T145" s="130"/>
      <c r="V145" s="130"/>
      <c r="W145" s="130"/>
      <c r="X145" s="130"/>
      <c r="Y145" s="130"/>
      <c r="Z145" s="130"/>
      <c r="AA145" s="130"/>
      <c r="AB145" s="130"/>
      <c r="AC145" s="130"/>
      <c r="AD145" s="130"/>
      <c r="AE145" s="130"/>
      <c r="AF145" s="130"/>
      <c r="AG145" s="130"/>
      <c r="AH145" s="130"/>
      <c r="AI145" s="130"/>
      <c r="AJ145" s="130"/>
      <c r="AK145" s="130"/>
      <c r="AL145" s="130"/>
      <c r="AM145" s="130"/>
      <c r="AN145" s="130"/>
      <c r="AO145" s="130"/>
      <c r="AP145" s="130"/>
      <c r="AQ145" s="130"/>
      <c r="AR145" s="130"/>
      <c r="AS145" s="130"/>
      <c r="AT145" s="130"/>
      <c r="AU145" s="130"/>
      <c r="AV145" s="130"/>
      <c r="AW145" s="130"/>
      <c r="AX145" s="130"/>
    </row>
    <row r="146" spans="1:50" ht="20" customHeight="1" x14ac:dyDescent="0.2">
      <c r="A146" s="198"/>
      <c r="B146" s="130"/>
      <c r="C146" s="130"/>
      <c r="D146" s="130"/>
      <c r="E146" s="130"/>
      <c r="F146" s="130"/>
      <c r="G146" s="130"/>
      <c r="H146" s="130"/>
      <c r="I146" s="130"/>
      <c r="J146" s="130"/>
      <c r="K146" s="130"/>
      <c r="L146" s="130"/>
      <c r="M146" s="130"/>
      <c r="N146" s="130"/>
      <c r="O146" s="130"/>
      <c r="P146" s="139">
        <v>0.14811433896188572</v>
      </c>
      <c r="Q146" s="139">
        <v>0.51513619942225697</v>
      </c>
      <c r="R146" s="139">
        <v>0.80533955239031296</v>
      </c>
      <c r="S146" s="130"/>
      <c r="T146" s="130"/>
      <c r="V146" s="130"/>
      <c r="W146" s="130"/>
      <c r="X146" s="130"/>
      <c r="Y146" s="130"/>
      <c r="Z146" s="130"/>
      <c r="AA146" s="130"/>
      <c r="AB146" s="130"/>
      <c r="AC146" s="130"/>
      <c r="AD146" s="130"/>
      <c r="AE146" s="130"/>
      <c r="AF146" s="130"/>
      <c r="AG146" s="130"/>
      <c r="AH146" s="130"/>
      <c r="AI146" s="130"/>
      <c r="AJ146" s="130"/>
      <c r="AK146" s="130"/>
      <c r="AL146" s="130"/>
      <c r="AM146" s="130"/>
      <c r="AN146" s="130"/>
      <c r="AO146" s="130"/>
      <c r="AP146" s="130"/>
      <c r="AQ146" s="130"/>
      <c r="AR146" s="130"/>
      <c r="AS146" s="130"/>
      <c r="AT146" s="130"/>
      <c r="AU146" s="130"/>
      <c r="AV146" s="130"/>
      <c r="AW146" s="130"/>
      <c r="AX146" s="130"/>
    </row>
    <row r="147" spans="1:50" ht="20" customHeight="1" x14ac:dyDescent="0.2">
      <c r="A147" s="198"/>
      <c r="B147" s="130"/>
      <c r="C147" s="130"/>
      <c r="D147" s="130"/>
      <c r="E147" s="130"/>
      <c r="F147" s="130"/>
      <c r="G147" s="130"/>
      <c r="H147" s="130"/>
      <c r="I147" s="130"/>
      <c r="J147" s="130"/>
      <c r="K147" s="130"/>
      <c r="L147" s="130"/>
      <c r="M147" s="130"/>
      <c r="N147" s="130"/>
      <c r="O147" s="130"/>
      <c r="P147" s="139">
        <v>3.4503621302459178</v>
      </c>
      <c r="Q147" s="139">
        <v>6.2189111520621809</v>
      </c>
      <c r="R147" s="139">
        <v>5.735357162224636</v>
      </c>
      <c r="S147" s="130"/>
      <c r="T147" s="130"/>
      <c r="V147" s="130"/>
      <c r="W147" s="130"/>
      <c r="X147" s="130"/>
      <c r="Y147" s="130"/>
      <c r="Z147" s="130"/>
      <c r="AA147" s="130"/>
      <c r="AB147" s="130"/>
      <c r="AC147" s="130"/>
      <c r="AD147" s="130"/>
      <c r="AE147" s="130"/>
      <c r="AF147" s="130"/>
      <c r="AG147" s="130"/>
      <c r="AH147" s="130"/>
      <c r="AI147" s="130"/>
      <c r="AJ147" s="130"/>
      <c r="AK147" s="130"/>
      <c r="AL147" s="130"/>
      <c r="AM147" s="130"/>
      <c r="AN147" s="130"/>
      <c r="AO147" s="130"/>
      <c r="AP147" s="130"/>
      <c r="AQ147" s="130"/>
      <c r="AR147" s="130"/>
      <c r="AS147" s="130"/>
      <c r="AT147" s="130"/>
      <c r="AU147" s="130"/>
      <c r="AV147" s="130"/>
      <c r="AW147" s="130"/>
      <c r="AX147" s="130"/>
    </row>
    <row r="148" spans="1:50" ht="20" customHeight="1" x14ac:dyDescent="0.2">
      <c r="A148" s="198"/>
      <c r="B148" s="130"/>
      <c r="C148" s="130"/>
      <c r="D148" s="130"/>
      <c r="E148" s="130"/>
      <c r="F148" s="130"/>
      <c r="G148" s="130"/>
      <c r="H148" s="130"/>
      <c r="I148" s="130"/>
      <c r="J148" s="130"/>
      <c r="K148" s="130"/>
      <c r="L148" s="130"/>
      <c r="M148" s="130"/>
      <c r="N148" s="130"/>
      <c r="O148" s="130"/>
      <c r="P148" s="140">
        <v>0.4495242408654529</v>
      </c>
      <c r="Q148" s="140">
        <v>0.25834277518377941</v>
      </c>
      <c r="R148" s="140">
        <v>0.30423303415091679</v>
      </c>
      <c r="S148" s="130"/>
      <c r="T148" s="130"/>
      <c r="V148" s="130"/>
      <c r="W148" s="130"/>
      <c r="X148" s="130"/>
      <c r="Y148" s="130"/>
      <c r="Z148" s="130"/>
      <c r="AA148" s="130"/>
      <c r="AB148" s="130"/>
      <c r="AC148" s="130"/>
      <c r="AD148" s="130"/>
      <c r="AE148" s="130"/>
      <c r="AF148" s="130"/>
      <c r="AG148" s="130"/>
      <c r="AH148" s="130"/>
      <c r="AI148" s="130"/>
      <c r="AJ148" s="130"/>
      <c r="AK148" s="130"/>
      <c r="AL148" s="130"/>
      <c r="AM148" s="130"/>
      <c r="AN148" s="130"/>
      <c r="AO148" s="130"/>
      <c r="AP148" s="130"/>
      <c r="AQ148" s="130"/>
      <c r="AR148" s="130"/>
      <c r="AS148" s="130"/>
      <c r="AT148" s="130"/>
      <c r="AU148" s="130"/>
      <c r="AV148" s="130"/>
      <c r="AW148" s="130"/>
      <c r="AX148" s="130"/>
    </row>
    <row r="149" spans="1:50" ht="20" customHeight="1" x14ac:dyDescent="0.2">
      <c r="A149" s="198"/>
      <c r="B149" s="130"/>
      <c r="C149" s="130"/>
      <c r="D149" s="130"/>
      <c r="E149" s="130"/>
      <c r="F149" s="130"/>
      <c r="G149" s="130"/>
      <c r="H149" s="130"/>
      <c r="I149" s="130"/>
      <c r="J149" s="130"/>
      <c r="K149" s="130"/>
      <c r="L149" s="130"/>
      <c r="M149" s="130"/>
      <c r="N149" s="130"/>
      <c r="O149" s="130"/>
      <c r="P149" s="133" t="s">
        <v>261</v>
      </c>
      <c r="Q149" s="130"/>
      <c r="R149" s="130"/>
      <c r="S149" s="130"/>
      <c r="T149" s="130"/>
      <c r="V149" s="130"/>
      <c r="W149" s="130"/>
      <c r="X149" s="130"/>
      <c r="Y149" s="130"/>
      <c r="Z149" s="130"/>
      <c r="AA149" s="130"/>
      <c r="AB149" s="130"/>
      <c r="AC149" s="130"/>
      <c r="AD149" s="130"/>
      <c r="AE149" s="130"/>
      <c r="AF149" s="130"/>
      <c r="AG149" s="130"/>
      <c r="AH149" s="130"/>
      <c r="AI149" s="130"/>
      <c r="AJ149" s="130"/>
      <c r="AK149" s="130"/>
      <c r="AL149" s="130"/>
      <c r="AM149" s="130"/>
      <c r="AN149" s="130"/>
      <c r="AO149" s="130"/>
      <c r="AP149" s="130"/>
      <c r="AQ149" s="130"/>
      <c r="AR149" s="130"/>
      <c r="AS149" s="130"/>
      <c r="AT149" s="130"/>
      <c r="AU149" s="130"/>
      <c r="AV149" s="130"/>
      <c r="AW149" s="130"/>
      <c r="AX149" s="130"/>
    </row>
    <row r="150" spans="1:50" ht="20" customHeight="1" x14ac:dyDescent="0.2">
      <c r="A150" s="198"/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8" cm="1">
        <f t="array" ref="P150:R157">(Blueprint!P132:R139-Blueprint!P141:R148)/(Blueprint!P132:R139+Blueprint!P141:R148)</f>
        <v>3.0062241862715278E-2</v>
      </c>
      <c r="Q150" s="138">
        <v>-0.33747809120976124</v>
      </c>
      <c r="R150" s="138">
        <v>1.5430548393909988E-2</v>
      </c>
      <c r="S150" s="130"/>
      <c r="T150" s="130"/>
      <c r="V150" s="130"/>
      <c r="W150" s="130"/>
      <c r="X150" s="130"/>
      <c r="Y150" s="130"/>
      <c r="Z150" s="130"/>
      <c r="AA150" s="130"/>
      <c r="AB150" s="130"/>
      <c r="AC150" s="130"/>
      <c r="AD150" s="130"/>
      <c r="AE150" s="130"/>
      <c r="AF150" s="130"/>
      <c r="AG150" s="130"/>
      <c r="AH150" s="130"/>
      <c r="AI150" s="130"/>
      <c r="AJ150" s="130"/>
      <c r="AK150" s="130"/>
      <c r="AL150" s="130"/>
      <c r="AM150" s="130"/>
      <c r="AN150" s="130"/>
      <c r="AO150" s="130"/>
      <c r="AP150" s="130"/>
      <c r="AQ150" s="130"/>
      <c r="AR150" s="130"/>
      <c r="AS150" s="130"/>
      <c r="AT150" s="130"/>
      <c r="AU150" s="130"/>
      <c r="AV150" s="130"/>
      <c r="AW150" s="130"/>
      <c r="AX150" s="130"/>
    </row>
    <row r="151" spans="1:50" ht="20" customHeight="1" x14ac:dyDescent="0.2">
      <c r="A151" s="198"/>
      <c r="B151" s="130"/>
      <c r="C151" s="130"/>
      <c r="D151" s="130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9">
        <v>0.15350051235059536</v>
      </c>
      <c r="Q151" s="139">
        <v>0.78532396089454315</v>
      </c>
      <c r="R151" s="139">
        <v>0.88809772697565637</v>
      </c>
      <c r="S151" s="130"/>
      <c r="T151" s="130"/>
      <c r="V151" s="130"/>
      <c r="W151" s="130"/>
      <c r="X151" s="130"/>
      <c r="Y151" s="130"/>
      <c r="Z151" s="130"/>
      <c r="AA151" s="130"/>
      <c r="AB151" s="130"/>
      <c r="AC151" s="130"/>
      <c r="AD151" s="130"/>
      <c r="AE151" s="130"/>
      <c r="AF151" s="130"/>
      <c r="AG151" s="130"/>
      <c r="AH151" s="130"/>
      <c r="AI151" s="130"/>
      <c r="AJ151" s="130"/>
      <c r="AK151" s="130"/>
      <c r="AL151" s="130"/>
      <c r="AM151" s="130"/>
      <c r="AN151" s="130"/>
      <c r="AO151" s="130"/>
      <c r="AP151" s="130"/>
      <c r="AQ151" s="130"/>
      <c r="AR151" s="130"/>
      <c r="AS151" s="130"/>
      <c r="AT151" s="130"/>
      <c r="AU151" s="130"/>
      <c r="AV151" s="130"/>
      <c r="AW151" s="130"/>
      <c r="AX151" s="130"/>
    </row>
    <row r="152" spans="1:50" ht="20" customHeight="1" x14ac:dyDescent="0.2">
      <c r="A152" s="198"/>
      <c r="B152" s="130"/>
      <c r="C152" s="130"/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9">
        <v>-0.46418417837420534</v>
      </c>
      <c r="Q152" s="139">
        <v>0.25547935106735664</v>
      </c>
      <c r="R152" s="139">
        <v>0.34920810338510061</v>
      </c>
      <c r="S152" s="130"/>
      <c r="T152" s="130"/>
      <c r="V152" s="130"/>
      <c r="W152" s="130"/>
      <c r="X152" s="130"/>
      <c r="Y152" s="130"/>
      <c r="Z152" s="130"/>
      <c r="AA152" s="130"/>
      <c r="AB152" s="130"/>
      <c r="AC152" s="130"/>
      <c r="AD152" s="130"/>
      <c r="AE152" s="130"/>
      <c r="AF152" s="130"/>
      <c r="AG152" s="130"/>
      <c r="AH152" s="130"/>
      <c r="AI152" s="130"/>
      <c r="AJ152" s="130"/>
      <c r="AK152" s="130"/>
      <c r="AL152" s="130"/>
      <c r="AM152" s="130"/>
      <c r="AN152" s="130"/>
      <c r="AO152" s="130"/>
      <c r="AP152" s="130"/>
      <c r="AQ152" s="130"/>
      <c r="AR152" s="130"/>
      <c r="AS152" s="130"/>
      <c r="AT152" s="130"/>
      <c r="AU152" s="130"/>
      <c r="AV152" s="130"/>
      <c r="AW152" s="130"/>
      <c r="AX152" s="130"/>
    </row>
    <row r="153" spans="1:50" ht="20" customHeight="1" x14ac:dyDescent="0.2">
      <c r="A153" s="198"/>
      <c r="B153" s="130"/>
      <c r="C153" s="130"/>
      <c r="D153" s="130"/>
      <c r="E153" s="130"/>
      <c r="F153" s="130"/>
      <c r="G153" s="130"/>
      <c r="H153" s="130"/>
      <c r="I153" s="130"/>
      <c r="J153" s="130"/>
      <c r="K153" s="130"/>
      <c r="L153" s="130"/>
      <c r="M153" s="130"/>
      <c r="N153" s="130"/>
      <c r="O153" s="130"/>
      <c r="P153" s="139">
        <v>6.6197812486759336E-2</v>
      </c>
      <c r="Q153" s="139">
        <v>8.0850409327870423E-2</v>
      </c>
      <c r="R153" s="139">
        <v>-0.27152457762767901</v>
      </c>
      <c r="S153" s="130"/>
      <c r="T153" s="130"/>
      <c r="V153" s="130"/>
      <c r="W153" s="130"/>
      <c r="X153" s="130"/>
      <c r="Y153" s="130"/>
      <c r="Z153" s="130"/>
      <c r="AA153" s="130"/>
      <c r="AB153" s="130"/>
      <c r="AC153" s="130"/>
      <c r="AD153" s="130"/>
      <c r="AE153" s="130"/>
      <c r="AF153" s="130"/>
      <c r="AG153" s="130"/>
      <c r="AH153" s="130"/>
      <c r="AI153" s="130"/>
      <c r="AJ153" s="130"/>
      <c r="AK153" s="130"/>
      <c r="AL153" s="130"/>
      <c r="AM153" s="130"/>
      <c r="AN153" s="130"/>
      <c r="AO153" s="130"/>
      <c r="AP153" s="130"/>
      <c r="AQ153" s="130"/>
      <c r="AR153" s="130"/>
      <c r="AS153" s="130"/>
      <c r="AT153" s="130"/>
      <c r="AU153" s="130"/>
      <c r="AV153" s="130"/>
      <c r="AW153" s="130"/>
      <c r="AX153" s="130"/>
    </row>
    <row r="154" spans="1:50" ht="20" customHeight="1" x14ac:dyDescent="0.2">
      <c r="A154" s="198"/>
      <c r="B154" s="130"/>
      <c r="C154" s="130"/>
      <c r="D154" s="130"/>
      <c r="E154" s="130"/>
      <c r="F154" s="130"/>
      <c r="G154" s="130"/>
      <c r="H154" s="130"/>
      <c r="I154" s="130"/>
      <c r="J154" s="130"/>
      <c r="K154" s="130"/>
      <c r="L154" s="130"/>
      <c r="M154" s="130"/>
      <c r="N154" s="130"/>
      <c r="O154" s="130"/>
      <c r="P154" s="139">
        <v>-8.9620099466598033E-2</v>
      </c>
      <c r="Q154" s="139">
        <v>-0.28058013949395261</v>
      </c>
      <c r="R154" s="139">
        <v>-0.42579046241241941</v>
      </c>
      <c r="S154" s="130"/>
      <c r="T154" s="130"/>
      <c r="V154" s="130"/>
      <c r="W154" s="130"/>
      <c r="X154" s="130"/>
      <c r="Y154" s="130"/>
      <c r="Z154" s="130"/>
      <c r="AA154" s="130"/>
      <c r="AB154" s="130"/>
      <c r="AC154" s="130"/>
      <c r="AD154" s="130"/>
      <c r="AE154" s="130"/>
      <c r="AF154" s="130"/>
      <c r="AG154" s="130"/>
      <c r="AH154" s="130"/>
      <c r="AI154" s="130"/>
      <c r="AJ154" s="130"/>
      <c r="AK154" s="130"/>
      <c r="AL154" s="130"/>
      <c r="AM154" s="130"/>
      <c r="AN154" s="130"/>
      <c r="AO154" s="130"/>
      <c r="AP154" s="130"/>
      <c r="AQ154" s="130"/>
      <c r="AR154" s="130"/>
      <c r="AS154" s="130"/>
      <c r="AT154" s="130"/>
      <c r="AU154" s="130"/>
      <c r="AV154" s="130"/>
      <c r="AW154" s="130"/>
      <c r="AX154" s="130"/>
    </row>
    <row r="155" spans="1:50" ht="20" customHeight="1" x14ac:dyDescent="0.2">
      <c r="A155" s="198"/>
      <c r="B155" s="130"/>
      <c r="C155" s="130"/>
      <c r="D155" s="130"/>
      <c r="E155" s="130"/>
      <c r="F155" s="130"/>
      <c r="G155" s="130"/>
      <c r="H155" s="130"/>
      <c r="I155" s="130"/>
      <c r="J155" s="130"/>
      <c r="K155" s="130"/>
      <c r="L155" s="130"/>
      <c r="M155" s="130"/>
      <c r="N155" s="130"/>
      <c r="O155" s="130"/>
      <c r="P155" s="139">
        <v>0.95706616161221569</v>
      </c>
      <c r="Q155" s="139">
        <v>0.58057123405273803</v>
      </c>
      <c r="R155" s="139">
        <v>0.21317130773283086</v>
      </c>
      <c r="S155" s="130"/>
      <c r="T155" s="130"/>
      <c r="V155" s="130"/>
      <c r="W155" s="130"/>
      <c r="X155" s="130"/>
      <c r="Y155" s="130"/>
      <c r="Z155" s="130"/>
      <c r="AA155" s="130"/>
      <c r="AB155" s="130"/>
      <c r="AC155" s="130"/>
      <c r="AD155" s="130"/>
      <c r="AE155" s="130"/>
      <c r="AF155" s="130"/>
      <c r="AG155" s="130"/>
      <c r="AH155" s="130"/>
      <c r="AI155" s="130"/>
      <c r="AJ155" s="130"/>
      <c r="AK155" s="130"/>
      <c r="AL155" s="130"/>
      <c r="AM155" s="130"/>
      <c r="AN155" s="130"/>
      <c r="AO155" s="130"/>
      <c r="AP155" s="130"/>
      <c r="AQ155" s="130"/>
      <c r="AR155" s="130"/>
      <c r="AS155" s="130"/>
      <c r="AT155" s="130"/>
      <c r="AU155" s="130"/>
      <c r="AV155" s="130"/>
      <c r="AW155" s="130"/>
      <c r="AX155" s="130"/>
    </row>
    <row r="156" spans="1:50" ht="20" customHeight="1" x14ac:dyDescent="0.2">
      <c r="A156" s="198"/>
      <c r="B156" s="130"/>
      <c r="C156" s="130"/>
      <c r="D156" s="130"/>
      <c r="E156" s="130"/>
      <c r="F156" s="130"/>
      <c r="G156" s="130"/>
      <c r="H156" s="130"/>
      <c r="I156" s="130"/>
      <c r="J156" s="130"/>
      <c r="K156" s="130"/>
      <c r="L156" s="130"/>
      <c r="M156" s="130"/>
      <c r="N156" s="130"/>
      <c r="O156" s="130"/>
      <c r="P156" s="139">
        <v>-0.84502129551719229</v>
      </c>
      <c r="Q156" s="139">
        <v>-0.94959023911336327</v>
      </c>
      <c r="R156" s="139">
        <v>-0.94099306624032986</v>
      </c>
      <c r="S156" s="130"/>
      <c r="T156" s="130"/>
      <c r="V156" s="130"/>
      <c r="W156" s="130"/>
      <c r="X156" s="130"/>
      <c r="Y156" s="130"/>
      <c r="Z156" s="130"/>
      <c r="AA156" s="130"/>
      <c r="AB156" s="130"/>
      <c r="AC156" s="130"/>
      <c r="AD156" s="130"/>
      <c r="AE156" s="130"/>
      <c r="AF156" s="130"/>
      <c r="AG156" s="130"/>
      <c r="AH156" s="130"/>
      <c r="AI156" s="130"/>
      <c r="AJ156" s="130"/>
      <c r="AK156" s="130"/>
      <c r="AL156" s="130"/>
      <c r="AM156" s="130"/>
      <c r="AN156" s="130"/>
      <c r="AO156" s="130"/>
      <c r="AP156" s="130"/>
      <c r="AQ156" s="130"/>
      <c r="AR156" s="130"/>
      <c r="AS156" s="130"/>
      <c r="AT156" s="130"/>
      <c r="AU156" s="130"/>
      <c r="AV156" s="130"/>
      <c r="AW156" s="130"/>
      <c r="AX156" s="130"/>
    </row>
    <row r="157" spans="1:50" ht="20" customHeight="1" x14ac:dyDescent="0.2">
      <c r="A157" s="198"/>
      <c r="B157" s="130"/>
      <c r="C157" s="130"/>
      <c r="D157" s="130"/>
      <c r="E157" s="130"/>
      <c r="F157" s="130"/>
      <c r="G157" s="130"/>
      <c r="H157" s="130"/>
      <c r="I157" s="130"/>
      <c r="J157" s="130"/>
      <c r="K157" s="130"/>
      <c r="L157" s="130"/>
      <c r="M157" s="130"/>
      <c r="N157" s="130"/>
      <c r="O157" s="130"/>
      <c r="P157" s="140">
        <v>0.66379378959645663</v>
      </c>
      <c r="Q157" s="140">
        <v>0.87486936351515554</v>
      </c>
      <c r="R157" s="140">
        <v>0.83056686935818747</v>
      </c>
      <c r="S157" s="130"/>
      <c r="T157" s="141" t="str">
        <f>HYPERLINK("#Blueprint!torchcode", "&lt;/&gt;")</f>
        <v>&lt;/&gt;</v>
      </c>
      <c r="V157" s="141" t="str">
        <f>HYPERLINK("#Blueprint!torchcode", "&lt;/&gt;")</f>
        <v>&lt;/&gt;</v>
      </c>
      <c r="W157" s="130"/>
      <c r="X157" s="130"/>
      <c r="Y157" s="130"/>
      <c r="Z157" s="130"/>
      <c r="AA157" s="130"/>
      <c r="AB157" s="130"/>
      <c r="AC157" s="130"/>
      <c r="AD157" s="130"/>
      <c r="AE157" s="130"/>
      <c r="AF157" s="130"/>
      <c r="AG157" s="130"/>
      <c r="AH157" s="130"/>
      <c r="AI157" s="130"/>
      <c r="AJ157" s="130"/>
      <c r="AK157" s="130"/>
      <c r="AL157" s="130"/>
      <c r="AM157" s="130"/>
      <c r="AN157" s="130"/>
      <c r="AO157" s="130"/>
      <c r="AP157" s="130"/>
      <c r="AQ157" s="130"/>
      <c r="AR157" s="130"/>
      <c r="AS157" s="130"/>
      <c r="AT157" s="130"/>
      <c r="AU157" s="130"/>
      <c r="AV157" s="130"/>
      <c r="AW157" s="130"/>
      <c r="AX157" s="130"/>
    </row>
    <row r="158" spans="1:50" ht="20" customHeight="1" x14ac:dyDescent="0.2">
      <c r="A158" s="198"/>
      <c r="B158" s="130"/>
      <c r="C158" s="130"/>
      <c r="D158" s="130"/>
      <c r="E158" s="130"/>
      <c r="F158" s="130"/>
      <c r="G158" s="130"/>
      <c r="H158" s="130"/>
      <c r="I158" s="130"/>
      <c r="J158" s="130"/>
      <c r="K158" s="130"/>
      <c r="L158" s="130"/>
      <c r="M158" s="130"/>
      <c r="N158" s="130"/>
      <c r="O158" s="130"/>
      <c r="P158" s="130"/>
      <c r="Q158" s="130"/>
      <c r="R158" s="130"/>
      <c r="S158" s="130"/>
      <c r="T158" s="142" t="str">
        <f>HYPERLINK("#X", "▲")</f>
        <v>▲</v>
      </c>
      <c r="V158" s="142" t="str">
        <f>HYPERLINK("#X", "▲")</f>
        <v>▲</v>
      </c>
      <c r="W158" s="130"/>
      <c r="X158" s="130"/>
      <c r="Y158" s="130"/>
      <c r="Z158" s="130"/>
      <c r="AA158" s="130"/>
      <c r="AB158" s="130"/>
      <c r="AC158" s="130"/>
      <c r="AD158" s="130"/>
      <c r="AE158" s="130"/>
      <c r="AF158" s="130"/>
      <c r="AG158" s="130"/>
      <c r="AH158" s="130"/>
      <c r="AI158" s="130"/>
      <c r="AJ158" s="130"/>
      <c r="AK158" s="130"/>
      <c r="AL158" s="130"/>
      <c r="AM158" s="130"/>
      <c r="AN158" s="130"/>
      <c r="AO158" s="130"/>
      <c r="AP158" s="130"/>
      <c r="AQ158" s="130"/>
      <c r="AR158" s="130"/>
      <c r="AS158" s="130"/>
      <c r="AT158" s="130"/>
      <c r="AU158" s="130"/>
      <c r="AV158" s="130"/>
      <c r="AW158" s="130"/>
      <c r="AX158" s="130"/>
    </row>
    <row r="159" spans="1:50" ht="20" customHeight="1" x14ac:dyDescent="0.2">
      <c r="P159" s="143" t="s">
        <v>117</v>
      </c>
      <c r="Q159" s="143" t="s">
        <v>117</v>
      </c>
      <c r="R159" s="143" t="s">
        <v>117</v>
      </c>
      <c r="AI159" s="160" t="s">
        <v>128</v>
      </c>
      <c r="AJ159" s="160" t="s">
        <v>128</v>
      </c>
      <c r="AK159" s="160" t="s">
        <v>128</v>
      </c>
    </row>
    <row r="160" spans="1:50" ht="20" customHeight="1" x14ac:dyDescent="0.2">
      <c r="A160" s="199" t="s">
        <v>265</v>
      </c>
      <c r="B160" s="123"/>
      <c r="C160" s="123"/>
      <c r="D160" s="123"/>
      <c r="E160" s="123"/>
      <c r="F160" s="123"/>
      <c r="G160" s="123"/>
      <c r="H160" s="123"/>
      <c r="I160" s="123"/>
      <c r="J160" s="123"/>
      <c r="K160" s="123"/>
      <c r="L160" s="123"/>
      <c r="M160" s="123"/>
      <c r="N160" s="123"/>
      <c r="O160" s="123"/>
      <c r="P160" s="144" t="s">
        <v>263</v>
      </c>
      <c r="Q160" s="123"/>
      <c r="R160" s="123"/>
      <c r="S160" s="123"/>
      <c r="T160" s="123"/>
      <c r="V160" s="123"/>
      <c r="W160" s="123"/>
      <c r="X160" s="123"/>
      <c r="Y160" s="123"/>
      <c r="Z160" s="123"/>
      <c r="AA160" s="123"/>
      <c r="AB160" s="123"/>
      <c r="AC160" s="123"/>
      <c r="AD160" s="123"/>
      <c r="AE160" s="123"/>
      <c r="AF160" s="123"/>
      <c r="AG160" s="123"/>
      <c r="AH160" s="123"/>
      <c r="AI160" s="144" t="s">
        <v>211</v>
      </c>
      <c r="AJ160" s="123"/>
      <c r="AK160" s="123"/>
      <c r="AL160" s="123"/>
      <c r="AM160" s="123"/>
      <c r="AN160" s="123"/>
      <c r="AO160" s="123"/>
      <c r="AP160" s="123"/>
      <c r="AQ160" s="123"/>
      <c r="AR160" s="123"/>
      <c r="AS160" s="123"/>
      <c r="AT160" s="123"/>
      <c r="AU160" s="123"/>
      <c r="AV160" s="123"/>
      <c r="AW160" s="123"/>
      <c r="AX160" s="123"/>
    </row>
    <row r="161" spans="1:50" ht="20" customHeight="1" x14ac:dyDescent="0.2">
      <c r="A161" s="199"/>
      <c r="B161" s="123"/>
      <c r="C161" s="123"/>
      <c r="D161" s="123"/>
      <c r="E161" s="123"/>
      <c r="F161" s="123"/>
      <c r="G161" s="123"/>
      <c r="H161" s="123"/>
      <c r="I161" s="123"/>
      <c r="J161" s="123"/>
      <c r="K161" s="123"/>
      <c r="L161" s="123"/>
      <c r="M161" s="123"/>
      <c r="N161" s="123"/>
      <c r="O161" s="123"/>
      <c r="P161" s="145" t="s">
        <v>264</v>
      </c>
      <c r="Q161" s="123"/>
      <c r="R161" s="123"/>
      <c r="S161" s="123"/>
      <c r="T161" s="123"/>
      <c r="V161" s="123"/>
      <c r="W161" s="123"/>
      <c r="X161" s="123"/>
      <c r="Y161" s="123"/>
      <c r="Z161" s="123"/>
      <c r="AA161" s="123"/>
      <c r="AB161" s="123"/>
      <c r="AC161" s="123"/>
      <c r="AD161" s="123"/>
      <c r="AE161" s="123"/>
      <c r="AF161" s="123"/>
      <c r="AG161" s="161" t="s">
        <v>286</v>
      </c>
      <c r="AH161" s="123"/>
      <c r="AI161" s="145" t="s">
        <v>287</v>
      </c>
      <c r="AJ161" s="123"/>
      <c r="AK161" s="123"/>
      <c r="AL161" s="123"/>
      <c r="AM161" s="123"/>
      <c r="AN161" s="123"/>
      <c r="AO161" s="123"/>
      <c r="AP161" s="123"/>
      <c r="AQ161" s="123"/>
      <c r="AR161" s="123"/>
      <c r="AS161" s="123"/>
      <c r="AT161" s="123"/>
      <c r="AU161" s="123"/>
      <c r="AV161" s="123"/>
      <c r="AW161" s="123"/>
      <c r="AX161" s="123"/>
    </row>
    <row r="162" spans="1:50" ht="20" customHeight="1" x14ac:dyDescent="0.2">
      <c r="A162" s="199"/>
      <c r="B162" s="123"/>
      <c r="C162" s="123"/>
      <c r="D162" s="123"/>
      <c r="E162" s="123"/>
      <c r="F162" s="123"/>
      <c r="G162" s="123"/>
      <c r="H162" s="123"/>
      <c r="I162" s="123"/>
      <c r="J162" s="123"/>
      <c r="K162" s="123"/>
      <c r="L162" s="123"/>
      <c r="M162" s="123"/>
      <c r="N162" s="123"/>
      <c r="O162" s="123"/>
      <c r="P162" s="146" cm="1">
        <f t="array" ref="P162:R169">IF(Blueprint!P150:R157&gt;0, Blueprint!P150:R157, 0)</f>
        <v>3.0062241862715278E-2</v>
      </c>
      <c r="Q162" s="146">
        <v>0</v>
      </c>
      <c r="R162" s="146">
        <v>1.5430548393909988E-2</v>
      </c>
      <c r="S162" s="123"/>
      <c r="T162" s="123"/>
      <c r="V162" s="123"/>
      <c r="W162" s="123"/>
      <c r="X162" s="123"/>
      <c r="Y162" s="123"/>
      <c r="Z162" s="123"/>
      <c r="AA162" s="123"/>
      <c r="AB162" s="123"/>
      <c r="AC162" s="123"/>
      <c r="AD162" s="123"/>
      <c r="AE162" s="146" cm="1">
        <f t="array" ref="AE162:AG169">0.5*erf_8 + 0.399*_xlfn.DROP(X_8,-1)* EXP(-0.5*_xlfn.DROP(X_8,-1)^2)</f>
        <v>0.51813181656556206</v>
      </c>
      <c r="AF162" s="146">
        <v>0.5</v>
      </c>
      <c r="AG162" s="146">
        <v>0.50927185230420369</v>
      </c>
      <c r="AH162" s="156" t="s">
        <v>113</v>
      </c>
      <c r="AI162" s="146" cm="1">
        <f t="array" ref="AI162:AK169">G_8* MaskGELU_8</f>
        <v>0.15071853010967823</v>
      </c>
      <c r="AJ162" s="146">
        <v>0.4831961572365554</v>
      </c>
      <c r="AK162" s="146">
        <v>0.52657912574495569</v>
      </c>
      <c r="AL162" s="123"/>
      <c r="AM162" s="123"/>
      <c r="AN162" s="123"/>
      <c r="AO162" s="123"/>
      <c r="AP162" s="123"/>
      <c r="AQ162" s="123"/>
      <c r="AR162" s="123"/>
      <c r="AS162" s="123"/>
      <c r="AT162" s="123"/>
      <c r="AU162" s="123"/>
      <c r="AV162" s="123"/>
      <c r="AW162" s="123"/>
      <c r="AX162" s="123"/>
    </row>
    <row r="163" spans="1:50" ht="20" customHeight="1" x14ac:dyDescent="0.2">
      <c r="A163" s="199"/>
      <c r="B163" s="123"/>
      <c r="C163" s="123"/>
      <c r="D163" s="123"/>
      <c r="E163" s="123"/>
      <c r="F163" s="123"/>
      <c r="G163" s="123"/>
      <c r="H163" s="123"/>
      <c r="I163" s="123"/>
      <c r="J163" s="123"/>
      <c r="K163" s="123"/>
      <c r="L163" s="123"/>
      <c r="M163" s="123"/>
      <c r="N163" s="123"/>
      <c r="O163" s="123"/>
      <c r="P163" s="147">
        <v>0.15350051235059536</v>
      </c>
      <c r="Q163" s="147">
        <v>0.78532396089454315</v>
      </c>
      <c r="R163" s="147">
        <v>0.88809772697565637</v>
      </c>
      <c r="S163" s="123"/>
      <c r="T163" s="123"/>
      <c r="V163" s="123"/>
      <c r="W163" s="123"/>
      <c r="X163" s="123"/>
      <c r="Y163" s="123"/>
      <c r="Z163" s="123"/>
      <c r="AA163" s="123"/>
      <c r="AB163" s="123"/>
      <c r="AC163" s="123"/>
      <c r="AD163" s="123"/>
      <c r="AE163" s="147">
        <v>0.59523033779865175</v>
      </c>
      <c r="AF163" s="147">
        <v>0.98709286890309922</v>
      </c>
      <c r="AG163" s="147">
        <v>1.0347078844662252</v>
      </c>
      <c r="AH163" s="156" t="s">
        <v>113</v>
      </c>
      <c r="AI163" s="147">
        <v>3.6679939374012586E-2</v>
      </c>
      <c r="AJ163" s="147">
        <v>0.63733384811817706</v>
      </c>
      <c r="AK163" s="147">
        <v>0.73407332293940619</v>
      </c>
      <c r="AL163" s="123"/>
      <c r="AM163" s="123"/>
      <c r="AN163" s="123"/>
      <c r="AO163" s="123"/>
      <c r="AP163" s="123"/>
      <c r="AQ163" s="123"/>
      <c r="AR163" s="123"/>
      <c r="AS163" s="123"/>
      <c r="AT163" s="123"/>
      <c r="AU163" s="123"/>
      <c r="AV163" s="123"/>
      <c r="AW163" s="123"/>
      <c r="AX163" s="123"/>
    </row>
    <row r="164" spans="1:50" ht="20" customHeight="1" x14ac:dyDescent="0.2">
      <c r="A164" s="199"/>
      <c r="B164" s="123"/>
      <c r="C164" s="123"/>
      <c r="D164" s="123"/>
      <c r="E164" s="123"/>
      <c r="F164" s="123"/>
      <c r="G164" s="123"/>
      <c r="H164" s="123"/>
      <c r="I164" s="123"/>
      <c r="J164" s="123"/>
      <c r="K164" s="123"/>
      <c r="L164" s="123"/>
      <c r="M164" s="123"/>
      <c r="N164" s="123"/>
      <c r="O164" s="123"/>
      <c r="P164" s="147">
        <v>0</v>
      </c>
      <c r="Q164" s="147">
        <v>0.25547935106735664</v>
      </c>
      <c r="R164" s="147">
        <v>0.34920810338510061</v>
      </c>
      <c r="S164" s="123"/>
      <c r="T164" s="123"/>
      <c r="V164" s="123"/>
      <c r="W164" s="123"/>
      <c r="X164" s="123"/>
      <c r="Y164" s="123"/>
      <c r="Z164" s="123"/>
      <c r="AA164" s="123"/>
      <c r="AB164" s="123"/>
      <c r="AC164" s="123"/>
      <c r="AD164" s="123"/>
      <c r="AE164" s="147">
        <v>0.5</v>
      </c>
      <c r="AF164" s="147">
        <v>0.66135197054141126</v>
      </c>
      <c r="AG164" s="147">
        <v>0.72305998955240547</v>
      </c>
      <c r="AH164" s="156" t="s">
        <v>113</v>
      </c>
      <c r="AI164" s="147">
        <v>3.3150598411421567E-2</v>
      </c>
      <c r="AJ164" s="147">
        <v>1.8586215107636608E-2</v>
      </c>
      <c r="AK164" s="147">
        <v>6.0311007645541911E-2</v>
      </c>
      <c r="AL164" s="123"/>
      <c r="AM164" s="123"/>
      <c r="AN164" s="123"/>
      <c r="AO164" s="123"/>
      <c r="AP164" s="123"/>
      <c r="AQ164" s="123"/>
      <c r="AR164" s="123"/>
      <c r="AS164" s="123"/>
      <c r="AT164" s="123"/>
      <c r="AU164" s="123"/>
      <c r="AV164" s="123"/>
      <c r="AW164" s="123"/>
      <c r="AX164" s="123"/>
    </row>
    <row r="165" spans="1:50" ht="20" customHeight="1" x14ac:dyDescent="0.2">
      <c r="A165" s="199"/>
      <c r="B165" s="123"/>
      <c r="C165" s="123"/>
      <c r="D165" s="123"/>
      <c r="E165" s="123"/>
      <c r="F165" s="123"/>
      <c r="G165" s="123"/>
      <c r="H165" s="123"/>
      <c r="I165" s="123"/>
      <c r="J165" s="123"/>
      <c r="K165" s="123"/>
      <c r="L165" s="123"/>
      <c r="M165" s="123"/>
      <c r="N165" s="123"/>
      <c r="O165" s="123"/>
      <c r="P165" s="147">
        <v>6.6197812486759336E-2</v>
      </c>
      <c r="Q165" s="147">
        <v>8.0850409327870423E-2</v>
      </c>
      <c r="R165" s="147">
        <v>0</v>
      </c>
      <c r="S165" s="123"/>
      <c r="T165" s="123"/>
      <c r="V165" s="123"/>
      <c r="W165" s="123"/>
      <c r="X165" s="123"/>
      <c r="Y165" s="123"/>
      <c r="Z165" s="123"/>
      <c r="AA165" s="123"/>
      <c r="AB165" s="123"/>
      <c r="AC165" s="123"/>
      <c r="AD165" s="123"/>
      <c r="AE165" s="147">
        <v>0.54028488861707336</v>
      </c>
      <c r="AF165" s="147">
        <v>0.54937269001971345</v>
      </c>
      <c r="AG165" s="147">
        <v>0.5</v>
      </c>
      <c r="AH165" s="156" t="s">
        <v>113</v>
      </c>
      <c r="AI165" s="147">
        <v>-2.4667466615144282E-2</v>
      </c>
      <c r="AJ165" s="147">
        <v>-0.19903913092763445</v>
      </c>
      <c r="AK165" s="147">
        <v>-0.197347850756034</v>
      </c>
      <c r="AL165" s="123"/>
      <c r="AM165" s="123"/>
      <c r="AN165" s="123"/>
      <c r="AO165" s="123"/>
      <c r="AP165" s="123"/>
      <c r="AQ165" s="123"/>
      <c r="AR165" s="123"/>
      <c r="AS165" s="123"/>
      <c r="AT165" s="123"/>
      <c r="AU165" s="123"/>
      <c r="AV165" s="123"/>
      <c r="AW165" s="123"/>
      <c r="AX165" s="123"/>
    </row>
    <row r="166" spans="1:50" ht="20" customHeight="1" x14ac:dyDescent="0.2">
      <c r="A166" s="199"/>
      <c r="B166" s="123"/>
      <c r="C166" s="123"/>
      <c r="D166" s="123"/>
      <c r="E166" s="123"/>
      <c r="F166" s="123"/>
      <c r="G166" s="123"/>
      <c r="H166" s="123"/>
      <c r="I166" s="123"/>
      <c r="J166" s="123"/>
      <c r="K166" s="123"/>
      <c r="L166" s="123"/>
      <c r="M166" s="123"/>
      <c r="N166" s="123"/>
      <c r="O166" s="123"/>
      <c r="P166" s="147">
        <v>0</v>
      </c>
      <c r="Q166" s="147">
        <v>0</v>
      </c>
      <c r="R166" s="147">
        <v>0</v>
      </c>
      <c r="S166" s="123"/>
      <c r="T166" s="123"/>
      <c r="V166" s="123"/>
      <c r="W166" s="123"/>
      <c r="X166" s="123"/>
      <c r="Y166" s="123"/>
      <c r="Z166" s="123"/>
      <c r="AA166" s="123"/>
      <c r="AB166" s="123"/>
      <c r="AC166" s="123"/>
      <c r="AD166" s="123"/>
      <c r="AE166" s="147">
        <v>0.5</v>
      </c>
      <c r="AF166" s="147">
        <v>0.5</v>
      </c>
      <c r="AG166" s="147">
        <v>0.5</v>
      </c>
      <c r="AH166" s="156" t="s">
        <v>113</v>
      </c>
      <c r="AI166" s="147">
        <v>3.5684982591582246E-2</v>
      </c>
      <c r="AJ166" s="147">
        <v>7.70381937215181E-4</v>
      </c>
      <c r="AK166" s="147">
        <v>-2.4897129629383827E-2</v>
      </c>
      <c r="AL166" s="123"/>
      <c r="AM166" s="123"/>
      <c r="AN166" s="123"/>
      <c r="AO166" s="123"/>
      <c r="AP166" s="123"/>
      <c r="AQ166" s="123"/>
      <c r="AR166" s="123"/>
      <c r="AS166" s="123"/>
      <c r="AT166" s="123"/>
      <c r="AU166" s="123"/>
      <c r="AV166" s="123"/>
      <c r="AW166" s="123"/>
      <c r="AX166" s="123"/>
    </row>
    <row r="167" spans="1:50" ht="20" customHeight="1" x14ac:dyDescent="0.2">
      <c r="A167" s="199"/>
      <c r="B167" s="123"/>
      <c r="C167" s="123"/>
      <c r="D167" s="123"/>
      <c r="E167" s="123"/>
      <c r="F167" s="123"/>
      <c r="G167" s="123"/>
      <c r="H167" s="123"/>
      <c r="I167" s="123"/>
      <c r="J167" s="123"/>
      <c r="K167" s="123"/>
      <c r="L167" s="123"/>
      <c r="M167" s="123"/>
      <c r="N167" s="123"/>
      <c r="O167" s="123"/>
      <c r="P167" s="147">
        <v>0.95706616161221569</v>
      </c>
      <c r="Q167" s="147">
        <v>0.58057123405273803</v>
      </c>
      <c r="R167" s="147">
        <v>0.21317130773283086</v>
      </c>
      <c r="S167" s="123"/>
      <c r="T167" s="123"/>
      <c r="V167" s="123"/>
      <c r="W167" s="123"/>
      <c r="X167" s="123"/>
      <c r="Y167" s="123"/>
      <c r="Z167" s="123"/>
      <c r="AA167" s="123"/>
      <c r="AB167" s="123"/>
      <c r="AC167" s="123"/>
      <c r="AD167" s="123"/>
      <c r="AE167" s="147">
        <v>1.0619985992874696</v>
      </c>
      <c r="AF167" s="147">
        <v>0.87193457207365554</v>
      </c>
      <c r="AG167" s="147">
        <v>0.63372573410407618</v>
      </c>
      <c r="AH167" s="156" t="s">
        <v>113</v>
      </c>
      <c r="AI167" s="147">
        <v>-3.535040926851292E-2</v>
      </c>
      <c r="AJ167" s="147">
        <v>0.23914563894224738</v>
      </c>
      <c r="AK167" s="147">
        <v>0.14236940003225163</v>
      </c>
      <c r="AL167" s="123"/>
      <c r="AM167" s="123"/>
      <c r="AN167" s="123"/>
      <c r="AO167" s="123"/>
      <c r="AP167" s="123"/>
      <c r="AQ167" s="123"/>
      <c r="AR167" s="123"/>
      <c r="AS167" s="123"/>
      <c r="AT167" s="123"/>
      <c r="AU167" s="123"/>
      <c r="AV167" s="123"/>
      <c r="AW167" s="123"/>
      <c r="AX167" s="123"/>
    </row>
    <row r="168" spans="1:50" ht="20" customHeight="1" x14ac:dyDescent="0.2">
      <c r="A168" s="199"/>
      <c r="B168" s="123"/>
      <c r="C168" s="123"/>
      <c r="D168" s="123"/>
      <c r="E168" s="123"/>
      <c r="F168" s="123"/>
      <c r="G168" s="123"/>
      <c r="H168" s="123"/>
      <c r="I168" s="123"/>
      <c r="J168" s="123"/>
      <c r="K168" s="123"/>
      <c r="L168" s="123"/>
      <c r="M168" s="123"/>
      <c r="N168" s="123"/>
      <c r="O168" s="123"/>
      <c r="P168" s="147">
        <v>0</v>
      </c>
      <c r="Q168" s="147">
        <v>0</v>
      </c>
      <c r="R168" s="147">
        <v>0</v>
      </c>
      <c r="S168" s="123"/>
      <c r="T168" s="123"/>
      <c r="V168" s="123"/>
      <c r="W168" s="123"/>
      <c r="X168" s="123"/>
      <c r="Y168" s="123"/>
      <c r="Z168" s="123"/>
      <c r="AA168" s="123"/>
      <c r="AB168" s="123"/>
      <c r="AC168" s="123"/>
      <c r="AD168" s="123"/>
      <c r="AE168" s="147">
        <v>0.5</v>
      </c>
      <c r="AF168" s="147">
        <v>0.5</v>
      </c>
      <c r="AG168" s="147">
        <v>0.5</v>
      </c>
      <c r="AH168" s="156" t="s">
        <v>113</v>
      </c>
      <c r="AI168" s="147">
        <v>-5.9029732062710831E-2</v>
      </c>
      <c r="AJ168" s="147">
        <v>0.15844855044879674</v>
      </c>
      <c r="AK168" s="147">
        <v>0.17723221338016723</v>
      </c>
      <c r="AL168" s="123"/>
      <c r="AM168" s="123"/>
      <c r="AN168" s="123"/>
      <c r="AO168" s="123"/>
      <c r="AP168" s="123"/>
      <c r="AQ168" s="123"/>
      <c r="AR168" s="123"/>
      <c r="AS168" s="123"/>
      <c r="AT168" s="123"/>
      <c r="AU168" s="123"/>
      <c r="AV168" s="123"/>
      <c r="AW168" s="123"/>
      <c r="AX168" s="123"/>
    </row>
    <row r="169" spans="1:50" ht="20" customHeight="1" x14ac:dyDescent="0.2">
      <c r="A169" s="199"/>
      <c r="B169" s="123"/>
      <c r="C169" s="123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48">
        <v>0.66379378959645663</v>
      </c>
      <c r="Q169" s="148">
        <v>0.87486936351515554</v>
      </c>
      <c r="R169" s="148">
        <v>0.83056686935818747</v>
      </c>
      <c r="S169" s="123"/>
      <c r="T169" s="149" t="str">
        <f>HYPERLINK("#Blueprint!torchcode", "&lt;/&gt;")</f>
        <v>&lt;/&gt;</v>
      </c>
      <c r="V169" s="149" t="str">
        <f>HYPERLINK("#Blueprint!torchcode", "&lt;/&gt;")</f>
        <v>&lt;/&gt;</v>
      </c>
      <c r="W169" s="123"/>
      <c r="X169" s="123"/>
      <c r="Y169" s="123"/>
      <c r="Z169" s="123"/>
      <c r="AA169" s="123"/>
      <c r="AB169" s="123"/>
      <c r="AC169" s="123"/>
      <c r="AD169" s="123"/>
      <c r="AE169" s="148">
        <v>0.92147527200268542</v>
      </c>
      <c r="AF169" s="148">
        <v>1.0290318182073057</v>
      </c>
      <c r="AG169" s="148">
        <v>1.0090295195737449</v>
      </c>
      <c r="AH169" s="156" t="s">
        <v>113</v>
      </c>
      <c r="AI169" s="148">
        <v>-2.2951587638130686E-2</v>
      </c>
      <c r="AJ169" s="148">
        <v>-0.35095786384239008</v>
      </c>
      <c r="AK169" s="148">
        <v>-0.34069799720124089</v>
      </c>
      <c r="AL169" s="123"/>
      <c r="AM169" s="123"/>
      <c r="AN169" s="123"/>
      <c r="AO169" s="123"/>
      <c r="AP169" s="123"/>
      <c r="AQ169" s="123"/>
      <c r="AR169" s="123"/>
      <c r="AS169" s="123"/>
      <c r="AT169" s="123"/>
      <c r="AU169" s="123"/>
      <c r="AV169" s="123"/>
      <c r="AW169" s="123"/>
      <c r="AX169" s="123"/>
    </row>
    <row r="170" spans="1:50" ht="20" customHeight="1" x14ac:dyDescent="0.2">
      <c r="A170" s="199"/>
      <c r="B170" s="123"/>
      <c r="C170" s="123"/>
      <c r="D170" s="123"/>
      <c r="E170" s="123"/>
      <c r="F170" s="123"/>
      <c r="G170" s="123"/>
      <c r="H170" s="123"/>
      <c r="I170" s="123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50" t="str">
        <f>HYPERLINK("#X", "▲")</f>
        <v>▲</v>
      </c>
      <c r="V170" s="150" t="str">
        <f>HYPERLINK("#X", "▲")</f>
        <v>▲</v>
      </c>
      <c r="W170" s="123"/>
      <c r="X170" s="123"/>
      <c r="Y170" s="123"/>
      <c r="Z170" s="123"/>
      <c r="AA170" s="123"/>
      <c r="AB170" s="123"/>
      <c r="AC170" s="123"/>
      <c r="AD170" s="123"/>
      <c r="AE170" s="123"/>
      <c r="AF170" s="123"/>
      <c r="AG170" s="123"/>
      <c r="AH170" s="123"/>
      <c r="AI170" s="123"/>
      <c r="AJ170" s="123"/>
      <c r="AK170" s="123"/>
      <c r="AL170" s="123"/>
      <c r="AM170" s="123"/>
      <c r="AN170" s="123"/>
      <c r="AO170" s="123"/>
      <c r="AP170" s="123"/>
      <c r="AQ170" s="123"/>
      <c r="AR170" s="123"/>
      <c r="AS170" s="123"/>
      <c r="AT170" s="123"/>
      <c r="AU170" s="123"/>
      <c r="AV170" s="123"/>
      <c r="AW170" s="123"/>
      <c r="AX170" s="123"/>
    </row>
    <row r="171" spans="1:50" ht="20" customHeight="1" x14ac:dyDescent="0.2">
      <c r="P171" s="143" t="s">
        <v>117</v>
      </c>
      <c r="Q171" s="143" t="s">
        <v>117</v>
      </c>
      <c r="R171" s="143" t="s">
        <v>117</v>
      </c>
      <c r="AI171" s="160" t="s">
        <v>128</v>
      </c>
      <c r="AJ171" s="160" t="s">
        <v>128</v>
      </c>
      <c r="AK171" s="160" t="s">
        <v>128</v>
      </c>
    </row>
    <row r="172" spans="1:50" ht="20" customHeight="1" x14ac:dyDescent="0.2">
      <c r="A172" s="198" t="s">
        <v>269</v>
      </c>
      <c r="B172" s="130"/>
      <c r="C172" s="130"/>
      <c r="D172" s="130"/>
      <c r="E172" s="130"/>
      <c r="F172" s="130"/>
      <c r="G172" s="130"/>
      <c r="H172" s="130"/>
      <c r="I172" s="130"/>
      <c r="J172" s="130"/>
      <c r="K172" s="130"/>
      <c r="L172" s="130"/>
      <c r="M172" s="130"/>
      <c r="N172" s="130"/>
      <c r="O172" s="130"/>
      <c r="P172" s="131" t="s">
        <v>266</v>
      </c>
      <c r="Q172" s="130"/>
      <c r="R172" s="130"/>
      <c r="S172" s="130"/>
      <c r="T172" s="130"/>
      <c r="V172" s="130"/>
      <c r="W172" s="130"/>
      <c r="X172" s="130"/>
      <c r="Y172" s="130"/>
      <c r="Z172" s="130"/>
      <c r="AA172" s="130"/>
      <c r="AB172" s="130"/>
      <c r="AC172" s="130"/>
      <c r="AD172" s="130"/>
      <c r="AE172" s="130"/>
      <c r="AF172" s="130"/>
      <c r="AG172" s="130"/>
      <c r="AH172" s="130"/>
      <c r="AI172" s="131" t="s">
        <v>210</v>
      </c>
      <c r="AJ172" s="130"/>
      <c r="AK172" s="130"/>
      <c r="AL172" s="130"/>
      <c r="AM172" s="130"/>
      <c r="AN172" s="130"/>
      <c r="AO172" s="130"/>
      <c r="AP172" s="130"/>
      <c r="AQ172" s="130"/>
      <c r="AR172" s="130"/>
      <c r="AS172" s="130"/>
      <c r="AT172" s="130"/>
      <c r="AU172" s="130"/>
      <c r="AV172" s="130"/>
      <c r="AW172" s="130"/>
      <c r="AX172" s="130"/>
    </row>
    <row r="173" spans="1:50" ht="20" customHeight="1" x14ac:dyDescent="0.2">
      <c r="A173" s="198"/>
      <c r="B173" s="130"/>
      <c r="C173" s="130"/>
      <c r="D173" s="130"/>
      <c r="E173" s="130"/>
      <c r="F173" s="130"/>
      <c r="G173" s="130"/>
      <c r="H173" s="130"/>
      <c r="I173" s="130"/>
      <c r="J173" s="130"/>
      <c r="K173" s="130"/>
      <c r="L173" s="130"/>
      <c r="M173" s="130"/>
      <c r="N173" s="130"/>
      <c r="O173" s="130"/>
      <c r="P173" s="133" t="s">
        <v>267</v>
      </c>
      <c r="Q173" s="130"/>
      <c r="R173" s="130"/>
      <c r="S173" s="130"/>
      <c r="T173" s="130"/>
      <c r="V173" s="130"/>
      <c r="W173" s="130"/>
      <c r="X173" s="130"/>
      <c r="Y173" s="130"/>
      <c r="Z173" s="130"/>
      <c r="AA173" s="130"/>
      <c r="AB173" s="130"/>
      <c r="AC173" s="130"/>
      <c r="AD173" s="130"/>
      <c r="AE173" s="130"/>
      <c r="AF173" s="130"/>
      <c r="AG173" s="162" t="s">
        <v>284</v>
      </c>
      <c r="AH173" s="130"/>
      <c r="AI173" s="133" t="s">
        <v>285</v>
      </c>
      <c r="AJ173" s="130"/>
      <c r="AK173" s="130"/>
      <c r="AL173" s="130"/>
      <c r="AM173" s="130"/>
      <c r="AN173" s="130"/>
      <c r="AO173" s="130"/>
      <c r="AP173" s="130"/>
      <c r="AQ173" s="130"/>
      <c r="AR173" s="130"/>
      <c r="AS173" s="130"/>
      <c r="AT173" s="130"/>
      <c r="AU173" s="130"/>
      <c r="AV173" s="130"/>
      <c r="AW173" s="130"/>
      <c r="AX173" s="130"/>
    </row>
    <row r="174" spans="1:50" ht="20" customHeight="1" x14ac:dyDescent="0.2">
      <c r="A174" s="198"/>
      <c r="B174" s="130"/>
      <c r="C174" s="130"/>
      <c r="D174" s="130"/>
      <c r="E174" s="130"/>
      <c r="F174" s="130"/>
      <c r="G174" s="130"/>
      <c r="H174" s="130"/>
      <c r="I174" s="130"/>
      <c r="J174" s="130"/>
      <c r="K174" s="130"/>
      <c r="L174" s="130"/>
      <c r="M174" s="130"/>
      <c r="N174" s="130"/>
      <c r="O174" s="130"/>
      <c r="P174" s="138" cm="1">
        <f t="array" ref="P174:R181">1+ERF(Blueprint!P162:R169/SQRT(2))</f>
        <v>1.0239825862603524</v>
      </c>
      <c r="Q174" s="138">
        <v>1</v>
      </c>
      <c r="R174" s="138">
        <v>1.0123113077688115</v>
      </c>
      <c r="S174" s="130"/>
      <c r="T174" s="130"/>
      <c r="V174" s="130"/>
      <c r="W174" s="130"/>
      <c r="X174" s="134" cm="1">
        <f t="array" ref="X174:AG182">TRANSPOSE(W_9)</f>
        <v>-0.49530965043231845</v>
      </c>
      <c r="Y174" s="135">
        <v>0.98926855064928532</v>
      </c>
      <c r="Z174" s="135">
        <v>0.84911089157685637</v>
      </c>
      <c r="AA174" s="135">
        <v>0.65878942143172026</v>
      </c>
      <c r="AB174" s="135">
        <v>0.17131369048729539</v>
      </c>
      <c r="AC174" s="135">
        <v>-0.74599776789546013</v>
      </c>
      <c r="AD174" s="135">
        <v>-0.33206332521513104</v>
      </c>
      <c r="AE174" s="135">
        <v>0.95994036365300417</v>
      </c>
      <c r="AF174" s="135">
        <v>-0.76525073824450374</v>
      </c>
      <c r="AG174" s="136">
        <v>0.63391893915832043</v>
      </c>
      <c r="AH174" s="137" t="s">
        <v>113</v>
      </c>
      <c r="AI174" s="138" cm="1">
        <f t="array" ref="AI174:AK181">_xlfn.DROP(MMULT(W_9T, G_9), -1)</f>
        <v>0.29088839034961478</v>
      </c>
      <c r="AJ174" s="138">
        <v>0.9663923144731108</v>
      </c>
      <c r="AK174" s="138">
        <v>1.0339843511131532</v>
      </c>
      <c r="AL174" s="130"/>
      <c r="AM174" s="130"/>
      <c r="AN174" s="130"/>
      <c r="AO174" s="130"/>
      <c r="AP174" s="130"/>
      <c r="AQ174" s="130"/>
      <c r="AR174" s="130"/>
      <c r="AS174" s="130"/>
      <c r="AT174" s="130"/>
      <c r="AU174" s="130"/>
      <c r="AV174" s="130"/>
      <c r="AW174" s="130"/>
      <c r="AX174" s="130"/>
    </row>
    <row r="175" spans="1:50" ht="20" customHeight="1" x14ac:dyDescent="0.2">
      <c r="A175" s="198"/>
      <c r="B175" s="130"/>
      <c r="C175" s="130"/>
      <c r="D175" s="130"/>
      <c r="E175" s="130"/>
      <c r="F175" s="130"/>
      <c r="G175" s="130"/>
      <c r="H175" s="130"/>
      <c r="I175" s="130"/>
      <c r="J175" s="130"/>
      <c r="K175" s="130"/>
      <c r="L175" s="130"/>
      <c r="M175" s="130"/>
      <c r="N175" s="130"/>
      <c r="O175" s="130"/>
      <c r="P175" s="139">
        <v>1.1219964137011535</v>
      </c>
      <c r="Q175" s="139">
        <v>1.567736349289095</v>
      </c>
      <c r="R175" s="139">
        <v>1.6255118147599721</v>
      </c>
      <c r="S175" s="130"/>
      <c r="T175" s="130"/>
      <c r="V175" s="130"/>
      <c r="W175" s="130"/>
      <c r="X175" s="134">
        <v>-0.82374990917742252</v>
      </c>
      <c r="Y175" s="135">
        <v>0.70640544733032584</v>
      </c>
      <c r="Z175" s="135">
        <v>0.77893791254609823</v>
      </c>
      <c r="AA175" s="135">
        <v>-6.6155420150607824E-2</v>
      </c>
      <c r="AB175" s="135">
        <v>0.39279431104660034</v>
      </c>
      <c r="AC175" s="135">
        <v>0.53752975491806865</v>
      </c>
      <c r="AD175" s="135">
        <v>0.7657322296872735</v>
      </c>
      <c r="AE175" s="135">
        <v>-0.79405453754588962</v>
      </c>
      <c r="AF175" s="135">
        <v>-0.51294048689305782</v>
      </c>
      <c r="AG175" s="136">
        <v>0.39433844899758697</v>
      </c>
      <c r="AH175" s="137" t="s">
        <v>113</v>
      </c>
      <c r="AI175" s="139">
        <v>6.1623101251301285E-2</v>
      </c>
      <c r="AJ175" s="139">
        <v>0.64566756401189518</v>
      </c>
      <c r="AK175" s="139">
        <v>0.70944982053373706</v>
      </c>
      <c r="AL175" s="130"/>
      <c r="AM175" s="130"/>
      <c r="AN175" s="130"/>
      <c r="AO175" s="130"/>
      <c r="AP175" s="130"/>
      <c r="AQ175" s="130"/>
      <c r="AR175" s="130"/>
      <c r="AS175" s="130"/>
      <c r="AT175" s="130"/>
      <c r="AU175" s="130"/>
      <c r="AV175" s="130"/>
      <c r="AW175" s="130"/>
      <c r="AX175" s="130"/>
    </row>
    <row r="176" spans="1:50" ht="20" customHeight="1" x14ac:dyDescent="0.2">
      <c r="A176" s="198"/>
      <c r="B176" s="130"/>
      <c r="C176" s="130"/>
      <c r="D176" s="130"/>
      <c r="E176" s="130"/>
      <c r="F176" s="130"/>
      <c r="G176" s="130"/>
      <c r="H176" s="130"/>
      <c r="I176" s="130"/>
      <c r="J176" s="130"/>
      <c r="K176" s="130"/>
      <c r="L176" s="130"/>
      <c r="M176" s="130"/>
      <c r="N176" s="130"/>
      <c r="O176" s="130"/>
      <c r="P176" s="139">
        <v>1</v>
      </c>
      <c r="Q176" s="139">
        <v>1.2016471099640837</v>
      </c>
      <c r="R176" s="139">
        <v>1.2730669169251014</v>
      </c>
      <c r="S176" s="130"/>
      <c r="T176" s="130"/>
      <c r="V176" s="130"/>
      <c r="W176" s="130"/>
      <c r="X176" s="134">
        <v>0.15456239646300673</v>
      </c>
      <c r="Y176" s="135">
        <v>-6.4654368907213211E-4</v>
      </c>
      <c r="Z176" s="135">
        <v>0.10101673984900117</v>
      </c>
      <c r="AA176" s="135">
        <v>-0.87859024479985237</v>
      </c>
      <c r="AB176" s="135">
        <v>0.42273078812286258</v>
      </c>
      <c r="AC176" s="135">
        <v>0.18744094390422106</v>
      </c>
      <c r="AD176" s="135">
        <v>0.91175615461543202</v>
      </c>
      <c r="AE176" s="135">
        <v>0.84302737377583981</v>
      </c>
      <c r="AF176" s="135">
        <v>0.20819027861580253</v>
      </c>
      <c r="AG176" s="136">
        <v>0.67895365413278341</v>
      </c>
      <c r="AH176" s="137" t="s">
        <v>113</v>
      </c>
      <c r="AI176" s="139">
        <v>6.6301196822843134E-2</v>
      </c>
      <c r="AJ176" s="139">
        <v>2.8103363920456953E-2</v>
      </c>
      <c r="AK176" s="139">
        <v>8.34107937335547E-2</v>
      </c>
      <c r="AL176" s="130"/>
      <c r="AM176" s="130"/>
      <c r="AN176" s="130"/>
      <c r="AO176" s="130"/>
      <c r="AP176" s="130"/>
      <c r="AQ176" s="130"/>
      <c r="AR176" s="130"/>
      <c r="AS176" s="130"/>
      <c r="AT176" s="130"/>
      <c r="AU176" s="130"/>
      <c r="AV176" s="130"/>
      <c r="AW176" s="130"/>
      <c r="AX176" s="130"/>
    </row>
    <row r="177" spans="1:50" ht="20" customHeight="1" x14ac:dyDescent="0.2">
      <c r="A177" s="198"/>
      <c r="B177" s="130"/>
      <c r="C177" s="130"/>
      <c r="D177" s="130"/>
      <c r="E177" s="130"/>
      <c r="F177" s="130"/>
      <c r="G177" s="130"/>
      <c r="H177" s="130"/>
      <c r="I177" s="130"/>
      <c r="J177" s="130"/>
      <c r="K177" s="130"/>
      <c r="L177" s="130"/>
      <c r="M177" s="130"/>
      <c r="N177" s="130"/>
      <c r="O177" s="130"/>
      <c r="P177" s="139">
        <v>1.0527796616608989</v>
      </c>
      <c r="Q177" s="139">
        <v>1.0644390815919607</v>
      </c>
      <c r="R177" s="139">
        <v>1</v>
      </c>
      <c r="S177" s="130"/>
      <c r="T177" s="130"/>
      <c r="V177" s="130"/>
      <c r="W177" s="130"/>
      <c r="X177" s="134">
        <v>-0.55489146802574396</v>
      </c>
      <c r="Y177" s="135">
        <v>0.28400189289823174</v>
      </c>
      <c r="Z177" s="135">
        <v>-0.63896689563989639</v>
      </c>
      <c r="AA177" s="135">
        <v>-0.95508952857926488</v>
      </c>
      <c r="AB177" s="135">
        <v>0.43723615352064371</v>
      </c>
      <c r="AC177" s="135">
        <v>0.60928811924532056</v>
      </c>
      <c r="AD177" s="135">
        <v>-0.61460280232131481</v>
      </c>
      <c r="AE177" s="135">
        <v>0.61147017544135451</v>
      </c>
      <c r="AF177" s="135">
        <v>0.39564891438931227</v>
      </c>
      <c r="AG177" s="136">
        <v>-0.19671868300065398</v>
      </c>
      <c r="AH177" s="137" t="s">
        <v>113</v>
      </c>
      <c r="AI177" s="139">
        <v>-4.565640671217687E-2</v>
      </c>
      <c r="AJ177" s="139">
        <v>-0.362302558069445</v>
      </c>
      <c r="AK177" s="139">
        <v>-0.39469570151206801</v>
      </c>
      <c r="AL177" s="130"/>
      <c r="AM177" s="130"/>
      <c r="AN177" s="130"/>
      <c r="AO177" s="130"/>
      <c r="AP177" s="130"/>
      <c r="AQ177" s="130"/>
      <c r="AR177" s="130"/>
      <c r="AS177" s="130"/>
      <c r="AT177" s="130"/>
      <c r="AU177" s="130"/>
      <c r="AV177" s="130"/>
      <c r="AW177" s="130"/>
      <c r="AX177" s="130"/>
    </row>
    <row r="178" spans="1:50" ht="20" customHeight="1" x14ac:dyDescent="0.2">
      <c r="A178" s="198"/>
      <c r="B178" s="130"/>
      <c r="C178" s="130"/>
      <c r="D178" s="130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9">
        <v>1</v>
      </c>
      <c r="Q178" s="139">
        <v>1</v>
      </c>
      <c r="R178" s="139">
        <v>1</v>
      </c>
      <c r="S178" s="130"/>
      <c r="T178" s="130"/>
      <c r="V178" s="130"/>
      <c r="W178" s="130"/>
      <c r="X178" s="134">
        <v>-0.24867960577830672</v>
      </c>
      <c r="Y178" s="135">
        <v>0.72291237488389015</v>
      </c>
      <c r="Z178" s="135">
        <v>0.10017094714567065</v>
      </c>
      <c r="AA178" s="135">
        <v>7.4577544815838337E-2</v>
      </c>
      <c r="AB178" s="135">
        <v>0.98057489516213536</v>
      </c>
      <c r="AC178" s="135">
        <v>-0.2211772371083498</v>
      </c>
      <c r="AD178" s="135">
        <v>0.7426020591519773</v>
      </c>
      <c r="AE178" s="135">
        <v>-0.13408753369003534</v>
      </c>
      <c r="AF178" s="135">
        <v>-1.8640184309333563E-2</v>
      </c>
      <c r="AG178" s="136">
        <v>-0.69368571788072586</v>
      </c>
      <c r="AH178" s="137" t="s">
        <v>113</v>
      </c>
      <c r="AI178" s="139">
        <v>7.1369965183164491E-2</v>
      </c>
      <c r="AJ178" s="139">
        <v>1.540763874430362E-3</v>
      </c>
      <c r="AK178" s="139">
        <v>-4.9794259258767654E-2</v>
      </c>
      <c r="AL178" s="130"/>
      <c r="AM178" s="130"/>
      <c r="AN178" s="130"/>
      <c r="AO178" s="130"/>
      <c r="AP178" s="130"/>
      <c r="AQ178" s="130"/>
      <c r="AR178" s="130"/>
      <c r="AS178" s="130"/>
      <c r="AT178" s="130"/>
      <c r="AU178" s="130"/>
      <c r="AV178" s="130"/>
      <c r="AW178" s="130"/>
      <c r="AX178" s="130"/>
    </row>
    <row r="179" spans="1:50" ht="20" customHeight="1" x14ac:dyDescent="0.2">
      <c r="A179" s="198"/>
      <c r="B179" s="130"/>
      <c r="C179" s="130"/>
      <c r="D179" s="130"/>
      <c r="E179" s="130"/>
      <c r="F179" s="130"/>
      <c r="G179" s="130"/>
      <c r="H179" s="130"/>
      <c r="I179" s="130"/>
      <c r="J179" s="130"/>
      <c r="K179" s="130"/>
      <c r="L179" s="130"/>
      <c r="M179" s="130"/>
      <c r="N179" s="130"/>
      <c r="O179" s="130"/>
      <c r="P179" s="139">
        <v>1.6614661382143125</v>
      </c>
      <c r="Q179" s="139">
        <v>1.4384705357063121</v>
      </c>
      <c r="R179" s="139">
        <v>1.1688066529741379</v>
      </c>
      <c r="S179" s="130"/>
      <c r="T179" s="130"/>
      <c r="V179" s="130"/>
      <c r="W179" s="130"/>
      <c r="X179" s="134">
        <v>-0.94867219030857086</v>
      </c>
      <c r="Y179" s="135">
        <v>0.19293955294415355</v>
      </c>
      <c r="Z179" s="135">
        <v>-0.48206640686839819</v>
      </c>
      <c r="AA179" s="135">
        <v>0.65992052899673581</v>
      </c>
      <c r="AB179" s="135">
        <v>-0.10049430094659328</v>
      </c>
      <c r="AC179" s="135">
        <v>-0.56846183026209474</v>
      </c>
      <c r="AD179" s="135">
        <v>0.16464589070528746</v>
      </c>
      <c r="AE179" s="135">
        <v>0.42012053960934281</v>
      </c>
      <c r="AF179" s="135">
        <v>-0.58065154775977135</v>
      </c>
      <c r="AG179" s="136">
        <v>-0.74741946952417493</v>
      </c>
      <c r="AH179" s="137" t="s">
        <v>113</v>
      </c>
      <c r="AI179" s="139">
        <v>-3.3286681632377565E-2</v>
      </c>
      <c r="AJ179" s="139">
        <v>0.2742701649889917</v>
      </c>
      <c r="AK179" s="139">
        <v>0.22465459799186638</v>
      </c>
      <c r="AL179" s="130"/>
      <c r="AM179" s="130"/>
      <c r="AN179" s="130"/>
      <c r="AO179" s="130"/>
      <c r="AP179" s="130"/>
      <c r="AQ179" s="130"/>
      <c r="AR179" s="130"/>
      <c r="AS179" s="130"/>
      <c r="AT179" s="130"/>
      <c r="AU179" s="130"/>
      <c r="AV179" s="130"/>
      <c r="AW179" s="130"/>
      <c r="AX179" s="130"/>
    </row>
    <row r="180" spans="1:50" ht="20" customHeight="1" x14ac:dyDescent="0.2">
      <c r="A180" s="198"/>
      <c r="B180" s="130"/>
      <c r="C180" s="130"/>
      <c r="D180" s="130"/>
      <c r="E180" s="130"/>
      <c r="F180" s="130"/>
      <c r="G180" s="130"/>
      <c r="H180" s="130"/>
      <c r="I180" s="130"/>
      <c r="J180" s="130"/>
      <c r="K180" s="130"/>
      <c r="L180" s="130"/>
      <c r="M180" s="130"/>
      <c r="N180" s="130"/>
      <c r="O180" s="130"/>
      <c r="P180" s="139">
        <v>1</v>
      </c>
      <c r="Q180" s="139">
        <v>1</v>
      </c>
      <c r="R180" s="139">
        <v>1</v>
      </c>
      <c r="S180" s="130"/>
      <c r="T180" s="130"/>
      <c r="V180" s="130"/>
      <c r="W180" s="130"/>
      <c r="X180" s="134">
        <v>-0.10543742822483182</v>
      </c>
      <c r="Y180" s="135">
        <v>-0.81849968712776899</v>
      </c>
      <c r="Z180" s="135">
        <v>0.88624332519248128</v>
      </c>
      <c r="AA180" s="135">
        <v>0.69066423736512661</v>
      </c>
      <c r="AB180" s="135">
        <v>-0.80414718249812722</v>
      </c>
      <c r="AC180" s="135">
        <v>-0.45588106755167246</v>
      </c>
      <c r="AD180" s="135">
        <v>-0.32663783570751548</v>
      </c>
      <c r="AE180" s="135">
        <v>-0.38667081296443939</v>
      </c>
      <c r="AF180" s="135">
        <v>-0.54539888771250844</v>
      </c>
      <c r="AG180" s="136">
        <v>7.9626218415796757E-2</v>
      </c>
      <c r="AH180" s="137" t="s">
        <v>113</v>
      </c>
      <c r="AI180" s="139">
        <v>-0.11805946412542166</v>
      </c>
      <c r="AJ180" s="139">
        <v>0.31689710089759349</v>
      </c>
      <c r="AK180" s="139">
        <v>0.35446442676033446</v>
      </c>
      <c r="AL180" s="130"/>
      <c r="AM180" s="130"/>
      <c r="AN180" s="130"/>
      <c r="AO180" s="130"/>
      <c r="AP180" s="130"/>
      <c r="AQ180" s="130"/>
      <c r="AR180" s="130"/>
      <c r="AS180" s="130"/>
      <c r="AT180" s="130"/>
      <c r="AU180" s="130"/>
      <c r="AV180" s="130"/>
      <c r="AW180" s="130"/>
      <c r="AX180" s="130"/>
    </row>
    <row r="181" spans="1:50" ht="20" customHeight="1" x14ac:dyDescent="0.2">
      <c r="A181" s="198"/>
      <c r="B181" s="130"/>
      <c r="C181" s="130"/>
      <c r="D181" s="130"/>
      <c r="E181" s="130"/>
      <c r="F181" s="130"/>
      <c r="G181" s="130"/>
      <c r="H181" s="130"/>
      <c r="I181" s="130"/>
      <c r="J181" s="130"/>
      <c r="K181" s="130"/>
      <c r="L181" s="130"/>
      <c r="M181" s="130"/>
      <c r="N181" s="130"/>
      <c r="O181" s="130"/>
      <c r="P181" s="140">
        <v>1.4931776989186023</v>
      </c>
      <c r="Q181" s="140">
        <v>1.6183550096151775</v>
      </c>
      <c r="R181" s="140">
        <v>1.5937816426194673</v>
      </c>
      <c r="S181" s="130"/>
      <c r="T181" s="130"/>
      <c r="V181" s="130"/>
      <c r="W181" s="130"/>
      <c r="X181" s="134">
        <v>-0.7630799924954772</v>
      </c>
      <c r="Y181" s="135">
        <v>-0.71958040399476886</v>
      </c>
      <c r="Z181" s="135">
        <v>0.64300196059048176</v>
      </c>
      <c r="AA181" s="135">
        <v>0.36183613305911422</v>
      </c>
      <c r="AB181" s="135">
        <v>-0.61681174952536821</v>
      </c>
      <c r="AC181" s="135">
        <v>-0.96183050191029906</v>
      </c>
      <c r="AD181" s="135">
        <v>-0.37134510651230812</v>
      </c>
      <c r="AE181" s="135">
        <v>-0.76281368779018521</v>
      </c>
      <c r="AF181" s="135">
        <v>0.38856628257781267</v>
      </c>
      <c r="AG181" s="136">
        <v>0.30334449978545308</v>
      </c>
      <c r="AH181" s="137" t="s">
        <v>113</v>
      </c>
      <c r="AI181" s="140">
        <v>-2.4907437383804042E-2</v>
      </c>
      <c r="AJ181" s="140">
        <v>-0.34105637710386827</v>
      </c>
      <c r="AK181" s="140">
        <v>-0.33764918725585508</v>
      </c>
      <c r="AL181" s="130"/>
      <c r="AM181" s="130"/>
      <c r="AN181" s="130"/>
      <c r="AO181" s="130"/>
      <c r="AP181" s="130"/>
      <c r="AQ181" s="130"/>
      <c r="AR181" s="130"/>
      <c r="AS181" s="130"/>
      <c r="AT181" s="130"/>
      <c r="AU181" s="130"/>
      <c r="AV181" s="130"/>
      <c r="AW181" s="130"/>
      <c r="AX181" s="130"/>
    </row>
    <row r="182" spans="1:50" ht="20" customHeight="1" x14ac:dyDescent="0.2">
      <c r="A182" s="198"/>
      <c r="B182" s="130"/>
      <c r="C182" s="130"/>
      <c r="D182" s="130"/>
      <c r="E182" s="130"/>
      <c r="F182" s="130"/>
      <c r="G182" s="130"/>
      <c r="H182" s="130"/>
      <c r="I182" s="130"/>
      <c r="J182" s="130"/>
      <c r="K182" s="130"/>
      <c r="L182" s="130"/>
      <c r="M182" s="130"/>
      <c r="N182" s="130"/>
      <c r="O182" s="130"/>
      <c r="P182" s="133" t="s">
        <v>268</v>
      </c>
      <c r="Q182" s="130"/>
      <c r="R182" s="130"/>
      <c r="S182" s="130"/>
      <c r="T182" s="130"/>
      <c r="V182" s="130"/>
      <c r="W182" s="130"/>
      <c r="X182" s="134">
        <v>0.74762741150334477</v>
      </c>
      <c r="Y182" s="135">
        <v>0.90017655305564404</v>
      </c>
      <c r="Z182" s="135">
        <v>-0.68941218266263604</v>
      </c>
      <c r="AA182" s="135">
        <v>-0.23848383221775293</v>
      </c>
      <c r="AB182" s="135">
        <v>-0.10524276783689857</v>
      </c>
      <c r="AC182" s="135">
        <v>-0.44405629485845566</v>
      </c>
      <c r="AD182" s="135">
        <v>-0.74128145398572087</v>
      </c>
      <c r="AE182" s="135">
        <v>1.8466987647116184E-2</v>
      </c>
      <c r="AF182" s="135">
        <v>0.76364377932623029</v>
      </c>
      <c r="AG182" s="136">
        <v>0.97564132697880268</v>
      </c>
      <c r="AH182" s="130"/>
      <c r="AI182" s="130"/>
      <c r="AJ182" s="130"/>
      <c r="AK182" s="130"/>
      <c r="AL182" s="130"/>
      <c r="AM182" s="130"/>
      <c r="AN182" s="130"/>
      <c r="AO182" s="130"/>
      <c r="AP182" s="130"/>
      <c r="AQ182" s="130"/>
      <c r="AR182" s="130"/>
      <c r="AS182" s="130"/>
      <c r="AT182" s="130"/>
      <c r="AU182" s="130"/>
      <c r="AV182" s="130"/>
      <c r="AW182" s="130"/>
      <c r="AX182" s="130"/>
    </row>
    <row r="183" spans="1:50" ht="20" customHeight="1" x14ac:dyDescent="0.2">
      <c r="A183" s="198"/>
      <c r="B183" s="130"/>
      <c r="C183" s="130"/>
      <c r="D183" s="130"/>
      <c r="E183" s="130"/>
      <c r="F183" s="130"/>
      <c r="G183" s="130"/>
      <c r="H183" s="130"/>
      <c r="I183" s="130"/>
      <c r="J183" s="130"/>
      <c r="K183" s="130"/>
      <c r="L183" s="130"/>
      <c r="M183" s="130"/>
      <c r="N183" s="130"/>
      <c r="O183" s="130"/>
      <c r="P183" s="138" cm="1">
        <f t="array" ref="P183:R191">_xlfn.VSTACK(0.5*Blueprint!P162:R169*Blueprint!P174:R181, _xlfn.SEQUENCE(1,3)*0+1)</f>
        <v>1.5391606085683712E-2</v>
      </c>
      <c r="Q183" s="138">
        <v>0</v>
      </c>
      <c r="R183" s="138">
        <v>7.8102593121144774E-3</v>
      </c>
      <c r="S183" s="130"/>
      <c r="T183" s="130"/>
      <c r="V183" s="130"/>
      <c r="W183" s="130"/>
      <c r="X183" s="130"/>
      <c r="Y183" s="130"/>
      <c r="Z183" s="130"/>
      <c r="AA183" s="130"/>
      <c r="AB183" s="130"/>
      <c r="AC183" s="130"/>
      <c r="AD183" s="130"/>
      <c r="AE183" s="130"/>
      <c r="AF183" s="130"/>
      <c r="AG183" s="130"/>
      <c r="AH183" s="130"/>
      <c r="AI183" s="130"/>
      <c r="AJ183" s="130"/>
      <c r="AK183" s="130"/>
      <c r="AL183" s="130"/>
      <c r="AM183" s="130"/>
      <c r="AN183" s="130"/>
      <c r="AO183" s="130"/>
      <c r="AP183" s="130"/>
      <c r="AQ183" s="130"/>
      <c r="AR183" s="130"/>
      <c r="AS183" s="130"/>
      <c r="AT183" s="130"/>
      <c r="AU183" s="130"/>
      <c r="AV183" s="130"/>
      <c r="AW183" s="130"/>
      <c r="AX183" s="130"/>
    </row>
    <row r="184" spans="1:50" ht="20" customHeight="1" x14ac:dyDescent="0.2">
      <c r="A184" s="198"/>
      <c r="B184" s="130"/>
      <c r="C184" s="130"/>
      <c r="D184" s="130"/>
      <c r="E184" s="130"/>
      <c r="F184" s="130"/>
      <c r="G184" s="130"/>
      <c r="H184" s="130"/>
      <c r="I184" s="130"/>
      <c r="J184" s="130"/>
      <c r="K184" s="130"/>
      <c r="L184" s="130"/>
      <c r="M184" s="130"/>
      <c r="N184" s="130"/>
      <c r="O184" s="130"/>
      <c r="P184" s="139">
        <v>8.6113512179328819E-2</v>
      </c>
      <c r="Q184" s="139">
        <v>0.61559045973103155</v>
      </c>
      <c r="R184" s="139">
        <v>0.7218066739302027</v>
      </c>
      <c r="S184" s="130"/>
      <c r="T184" s="130"/>
      <c r="V184" s="130"/>
      <c r="W184" s="130"/>
      <c r="X184" s="130"/>
      <c r="Y184" s="130"/>
      <c r="Z184" s="130"/>
      <c r="AA184" s="130"/>
      <c r="AB184" s="130"/>
      <c r="AC184" s="130"/>
      <c r="AD184" s="130"/>
      <c r="AE184" s="130"/>
      <c r="AF184" s="130"/>
      <c r="AG184" s="130"/>
      <c r="AH184" s="130"/>
      <c r="AI184" s="130"/>
      <c r="AJ184" s="130"/>
      <c r="AK184" s="130"/>
      <c r="AL184" s="130"/>
      <c r="AM184" s="130"/>
      <c r="AN184" s="130"/>
      <c r="AO184" s="130"/>
      <c r="AP184" s="130"/>
      <c r="AQ184" s="130"/>
      <c r="AR184" s="130"/>
      <c r="AS184" s="130"/>
      <c r="AT184" s="130"/>
      <c r="AU184" s="130"/>
      <c r="AV184" s="130"/>
      <c r="AW184" s="130"/>
      <c r="AX184" s="130"/>
    </row>
    <row r="185" spans="1:50" ht="20" customHeight="1" x14ac:dyDescent="0.2">
      <c r="A185" s="198"/>
      <c r="B185" s="130"/>
      <c r="C185" s="130"/>
      <c r="D185" s="130"/>
      <c r="E185" s="130"/>
      <c r="F185" s="130"/>
      <c r="G185" s="130"/>
      <c r="H185" s="130"/>
      <c r="I185" s="130"/>
      <c r="J185" s="130"/>
      <c r="K185" s="130"/>
      <c r="L185" s="130"/>
      <c r="M185" s="130"/>
      <c r="N185" s="130"/>
      <c r="O185" s="130"/>
      <c r="P185" s="139">
        <v>0</v>
      </c>
      <c r="Q185" s="139">
        <v>0.15349801193279433</v>
      </c>
      <c r="R185" s="139">
        <v>0.22228264177086607</v>
      </c>
      <c r="S185" s="130"/>
      <c r="T185" s="130"/>
      <c r="V185" s="130"/>
      <c r="W185" s="130"/>
      <c r="X185" s="130"/>
      <c r="Y185" s="130"/>
      <c r="Z185" s="130"/>
      <c r="AA185" s="130"/>
      <c r="AB185" s="130"/>
      <c r="AC185" s="130"/>
      <c r="AD185" s="130"/>
      <c r="AE185" s="130"/>
      <c r="AF185" s="130"/>
      <c r="AG185" s="130"/>
      <c r="AH185" s="130"/>
      <c r="AI185" s="130"/>
      <c r="AJ185" s="130"/>
      <c r="AK185" s="130"/>
      <c r="AL185" s="130"/>
      <c r="AM185" s="130"/>
      <c r="AN185" s="130"/>
      <c r="AO185" s="130"/>
      <c r="AP185" s="130"/>
      <c r="AQ185" s="130"/>
      <c r="AR185" s="130"/>
      <c r="AS185" s="130"/>
      <c r="AT185" s="130"/>
      <c r="AU185" s="130"/>
      <c r="AV185" s="130"/>
      <c r="AW185" s="130"/>
      <c r="AX185" s="130"/>
    </row>
    <row r="186" spans="1:50" ht="20" customHeight="1" x14ac:dyDescent="0.2">
      <c r="A186" s="198"/>
      <c r="B186" s="130"/>
      <c r="C186" s="130"/>
      <c r="D186" s="130"/>
      <c r="E186" s="130"/>
      <c r="F186" s="130"/>
      <c r="G186" s="130"/>
      <c r="H186" s="130"/>
      <c r="I186" s="130"/>
      <c r="J186" s="130"/>
      <c r="K186" s="130"/>
      <c r="L186" s="130"/>
      <c r="M186" s="130"/>
      <c r="N186" s="130"/>
      <c r="O186" s="130"/>
      <c r="P186" s="139">
        <v>3.4845855316251062E-2</v>
      </c>
      <c r="Q186" s="139">
        <v>4.3030167725646239E-2</v>
      </c>
      <c r="R186" s="139">
        <v>0</v>
      </c>
      <c r="S186" s="130"/>
      <c r="T186" s="130"/>
      <c r="V186" s="130"/>
      <c r="W186" s="130"/>
      <c r="X186" s="130"/>
      <c r="Y186" s="130"/>
      <c r="Z186" s="130"/>
      <c r="AA186" s="130"/>
      <c r="AB186" s="130"/>
      <c r="AC186" s="130"/>
      <c r="AD186" s="130"/>
      <c r="AE186" s="130"/>
      <c r="AF186" s="130"/>
      <c r="AG186" s="130"/>
      <c r="AH186" s="130"/>
      <c r="AI186" s="130"/>
      <c r="AJ186" s="130"/>
      <c r="AK186" s="130"/>
      <c r="AL186" s="130"/>
      <c r="AM186" s="130"/>
      <c r="AN186" s="130"/>
      <c r="AO186" s="130"/>
      <c r="AP186" s="130"/>
      <c r="AQ186" s="130"/>
      <c r="AR186" s="130"/>
      <c r="AS186" s="130"/>
      <c r="AT186" s="130"/>
      <c r="AU186" s="130"/>
      <c r="AV186" s="130"/>
      <c r="AW186" s="130"/>
      <c r="AX186" s="130"/>
    </row>
    <row r="187" spans="1:50" ht="20" customHeight="1" x14ac:dyDescent="0.2">
      <c r="A187" s="198"/>
      <c r="B187" s="130"/>
      <c r="C187" s="130"/>
      <c r="D187" s="130"/>
      <c r="E187" s="130"/>
      <c r="F187" s="130"/>
      <c r="G187" s="130"/>
      <c r="H187" s="130"/>
      <c r="I187" s="130"/>
      <c r="J187" s="130"/>
      <c r="K187" s="130"/>
      <c r="L187" s="130"/>
      <c r="M187" s="130"/>
      <c r="N187" s="130"/>
      <c r="O187" s="130"/>
      <c r="P187" s="139">
        <v>0</v>
      </c>
      <c r="Q187" s="139">
        <v>0</v>
      </c>
      <c r="R187" s="139">
        <v>0</v>
      </c>
      <c r="S187" s="130"/>
      <c r="T187" s="130"/>
      <c r="V187" s="130"/>
      <c r="W187" s="130"/>
      <c r="X187" s="130"/>
      <c r="Y187" s="130"/>
      <c r="Z187" s="130"/>
      <c r="AA187" s="130"/>
      <c r="AB187" s="130"/>
      <c r="AC187" s="130"/>
      <c r="AD187" s="130"/>
      <c r="AE187" s="130"/>
      <c r="AF187" s="130"/>
      <c r="AG187" s="130"/>
      <c r="AH187" s="130"/>
      <c r="AI187" s="130"/>
      <c r="AJ187" s="130"/>
      <c r="AK187" s="130"/>
      <c r="AL187" s="130"/>
      <c r="AM187" s="130"/>
      <c r="AN187" s="130"/>
      <c r="AO187" s="130"/>
      <c r="AP187" s="130"/>
      <c r="AQ187" s="130"/>
      <c r="AR187" s="130"/>
      <c r="AS187" s="130"/>
      <c r="AT187" s="130"/>
      <c r="AU187" s="130"/>
      <c r="AV187" s="130"/>
      <c r="AW187" s="130"/>
      <c r="AX187" s="130"/>
    </row>
    <row r="188" spans="1:50" ht="20" customHeight="1" x14ac:dyDescent="0.2">
      <c r="A188" s="198"/>
      <c r="B188" s="130"/>
      <c r="C188" s="130"/>
      <c r="D188" s="130"/>
      <c r="E188" s="130"/>
      <c r="F188" s="130"/>
      <c r="G188" s="130"/>
      <c r="H188" s="130"/>
      <c r="I188" s="130"/>
      <c r="J188" s="130"/>
      <c r="K188" s="130"/>
      <c r="L188" s="130"/>
      <c r="M188" s="130"/>
      <c r="N188" s="130"/>
      <c r="O188" s="130"/>
      <c r="P188" s="139">
        <v>0.7950665097747216</v>
      </c>
      <c r="Q188" s="139">
        <v>0.41756730703175837</v>
      </c>
      <c r="R188" s="139">
        <v>0.12457802135066499</v>
      </c>
      <c r="S188" s="130"/>
      <c r="T188" s="130"/>
      <c r="V188" s="130"/>
      <c r="W188" s="130"/>
      <c r="X188" s="130"/>
      <c r="Y188" s="130"/>
      <c r="Z188" s="130"/>
      <c r="AA188" s="130"/>
      <c r="AB188" s="130"/>
      <c r="AC188" s="130"/>
      <c r="AD188" s="130"/>
      <c r="AE188" s="130"/>
      <c r="AF188" s="130"/>
      <c r="AG188" s="130"/>
      <c r="AH188" s="130"/>
      <c r="AI188" s="130"/>
      <c r="AJ188" s="130"/>
      <c r="AK188" s="130"/>
      <c r="AL188" s="130"/>
      <c r="AM188" s="130"/>
      <c r="AN188" s="130"/>
      <c r="AO188" s="130"/>
      <c r="AP188" s="130"/>
      <c r="AQ188" s="130"/>
      <c r="AR188" s="130"/>
      <c r="AS188" s="130"/>
      <c r="AT188" s="130"/>
      <c r="AU188" s="130"/>
      <c r="AV188" s="130"/>
      <c r="AW188" s="130"/>
      <c r="AX188" s="130"/>
    </row>
    <row r="189" spans="1:50" ht="20" customHeight="1" x14ac:dyDescent="0.2">
      <c r="A189" s="198"/>
      <c r="B189" s="130"/>
      <c r="C189" s="130"/>
      <c r="D189" s="130"/>
      <c r="E189" s="130"/>
      <c r="F189" s="130"/>
      <c r="G189" s="130"/>
      <c r="H189" s="130"/>
      <c r="I189" s="130"/>
      <c r="J189" s="130"/>
      <c r="K189" s="130"/>
      <c r="L189" s="130"/>
      <c r="M189" s="130"/>
      <c r="N189" s="130"/>
      <c r="O189" s="130"/>
      <c r="P189" s="139">
        <v>0</v>
      </c>
      <c r="Q189" s="139">
        <v>0</v>
      </c>
      <c r="R189" s="139">
        <v>0</v>
      </c>
      <c r="S189" s="130"/>
      <c r="T189" s="130"/>
      <c r="V189" s="130"/>
      <c r="W189" s="130"/>
      <c r="X189" s="130"/>
      <c r="Y189" s="130"/>
      <c r="Z189" s="130"/>
      <c r="AA189" s="130"/>
      <c r="AB189" s="130"/>
      <c r="AC189" s="130"/>
      <c r="AD189" s="130"/>
      <c r="AE189" s="130"/>
      <c r="AF189" s="130"/>
      <c r="AG189" s="130"/>
      <c r="AH189" s="130"/>
      <c r="AI189" s="130"/>
      <c r="AJ189" s="130"/>
      <c r="AK189" s="130"/>
      <c r="AL189" s="130"/>
      <c r="AM189" s="130"/>
      <c r="AN189" s="130"/>
      <c r="AO189" s="130"/>
      <c r="AP189" s="130"/>
      <c r="AQ189" s="130"/>
      <c r="AR189" s="130"/>
      <c r="AS189" s="130"/>
      <c r="AT189" s="130"/>
      <c r="AU189" s="130"/>
      <c r="AV189" s="130"/>
      <c r="AW189" s="130"/>
      <c r="AX189" s="130"/>
    </row>
    <row r="190" spans="1:50" ht="20" customHeight="1" x14ac:dyDescent="0.2">
      <c r="A190" s="198"/>
      <c r="B190" s="130"/>
      <c r="C190" s="130"/>
      <c r="D190" s="130"/>
      <c r="E190" s="130"/>
      <c r="F190" s="130"/>
      <c r="G190" s="130"/>
      <c r="H190" s="130"/>
      <c r="I190" s="130"/>
      <c r="J190" s="130"/>
      <c r="K190" s="130"/>
      <c r="L190" s="130"/>
      <c r="M190" s="130"/>
      <c r="N190" s="130"/>
      <c r="O190" s="130"/>
      <c r="P190" s="140">
        <v>0.495581041653048</v>
      </c>
      <c r="Q190" s="140">
        <v>0.70792460860179685</v>
      </c>
      <c r="R190" s="140">
        <v>0.6618711146755003</v>
      </c>
      <c r="S190" s="130"/>
      <c r="T190" s="130"/>
      <c r="V190" s="130"/>
      <c r="W190" s="130"/>
      <c r="X190" s="130"/>
      <c r="Y190" s="130"/>
      <c r="Z190" s="130"/>
      <c r="AA190" s="130"/>
      <c r="AB190" s="130"/>
      <c r="AC190" s="130"/>
      <c r="AD190" s="130"/>
      <c r="AE190" s="130"/>
      <c r="AF190" s="130"/>
      <c r="AG190" s="130"/>
      <c r="AH190" s="130"/>
      <c r="AI190" s="130"/>
      <c r="AJ190" s="130"/>
      <c r="AK190" s="130"/>
      <c r="AL190" s="130"/>
      <c r="AM190" s="130"/>
      <c r="AN190" s="130"/>
      <c r="AO190" s="130"/>
      <c r="AP190" s="130"/>
      <c r="AQ190" s="130"/>
      <c r="AR190" s="130"/>
      <c r="AS190" s="130"/>
      <c r="AT190" s="130"/>
      <c r="AU190" s="130"/>
      <c r="AV190" s="130"/>
      <c r="AW190" s="130"/>
      <c r="AX190" s="130"/>
    </row>
    <row r="191" spans="1:50" ht="20" customHeight="1" x14ac:dyDescent="0.2">
      <c r="A191" s="198"/>
      <c r="B191" s="130"/>
      <c r="C191" s="130"/>
      <c r="D191" s="130"/>
      <c r="E191" s="130"/>
      <c r="F191" s="130"/>
      <c r="G191" s="130"/>
      <c r="H191" s="130"/>
      <c r="I191" s="130"/>
      <c r="J191" s="130"/>
      <c r="K191" s="130"/>
      <c r="L191" s="130"/>
      <c r="M191" s="130"/>
      <c r="N191" s="130"/>
      <c r="O191" s="130"/>
      <c r="P191" s="130">
        <v>1</v>
      </c>
      <c r="Q191" s="130">
        <v>1</v>
      </c>
      <c r="R191" s="130">
        <v>1</v>
      </c>
      <c r="S191" s="130"/>
      <c r="T191" s="141" t="str">
        <f>HYPERLINK("#Blueprint!torchcode", "&lt;/&gt;")</f>
        <v>&lt;/&gt;</v>
      </c>
      <c r="V191" s="141" t="str">
        <f>HYPERLINK("#Blueprint!torchcode", "&lt;/&gt;")</f>
        <v>&lt;/&gt;</v>
      </c>
      <c r="W191" s="130"/>
      <c r="X191" s="130"/>
      <c r="Y191" s="130"/>
      <c r="Z191" s="130"/>
      <c r="AA191" s="130"/>
      <c r="AB191" s="130"/>
      <c r="AC191" s="130"/>
      <c r="AD191" s="130"/>
      <c r="AE191" s="130"/>
      <c r="AF191" s="130"/>
      <c r="AG191" s="130"/>
      <c r="AH191" s="130"/>
      <c r="AI191" s="130"/>
      <c r="AJ191" s="130"/>
      <c r="AK191" s="130"/>
      <c r="AL191" s="130"/>
      <c r="AM191" s="130"/>
      <c r="AN191" s="130"/>
      <c r="AO191" s="130"/>
      <c r="AP191" s="130"/>
      <c r="AQ191" s="130"/>
      <c r="AR191" s="130"/>
      <c r="AS191" s="130"/>
      <c r="AT191" s="130"/>
      <c r="AU191" s="130"/>
      <c r="AV191" s="130"/>
      <c r="AW191" s="130"/>
      <c r="AX191" s="130"/>
    </row>
    <row r="192" spans="1:50" ht="20" customHeight="1" x14ac:dyDescent="0.2">
      <c r="A192" s="198"/>
      <c r="B192" s="130"/>
      <c r="C192" s="130"/>
      <c r="D192" s="130"/>
      <c r="E192" s="130"/>
      <c r="F192" s="130"/>
      <c r="G192" s="130"/>
      <c r="H192" s="130"/>
      <c r="I192" s="130"/>
      <c r="J192" s="130"/>
      <c r="K192" s="130"/>
      <c r="L192" s="130"/>
      <c r="M192" s="130"/>
      <c r="N192" s="130"/>
      <c r="O192" s="130"/>
      <c r="P192" s="130"/>
      <c r="Q192" s="130"/>
      <c r="R192" s="130"/>
      <c r="S192" s="130"/>
      <c r="T192" s="142" t="str">
        <f>HYPERLINK("#X", "▲")</f>
        <v>▲</v>
      </c>
      <c r="V192" s="142" t="str">
        <f>HYPERLINK("#X", "▲")</f>
        <v>▲</v>
      </c>
      <c r="W192" s="130"/>
      <c r="X192" s="130"/>
      <c r="Y192" s="130"/>
      <c r="Z192" s="130"/>
      <c r="AA192" s="130"/>
      <c r="AB192" s="130"/>
      <c r="AC192" s="130"/>
      <c r="AD192" s="130"/>
      <c r="AE192" s="130"/>
      <c r="AF192" s="130"/>
      <c r="AG192" s="130"/>
      <c r="AH192" s="130"/>
      <c r="AI192" s="130"/>
      <c r="AJ192" s="130"/>
      <c r="AK192" s="130"/>
      <c r="AL192" s="130"/>
      <c r="AM192" s="130"/>
      <c r="AN192" s="130"/>
      <c r="AO192" s="130"/>
      <c r="AP192" s="130"/>
      <c r="AQ192" s="130"/>
      <c r="AR192" s="130"/>
      <c r="AS192" s="130"/>
      <c r="AT192" s="130"/>
      <c r="AU192" s="130"/>
      <c r="AV192" s="130"/>
      <c r="AW192" s="130"/>
      <c r="AX192" s="130"/>
    </row>
    <row r="193" spans="1:60" ht="20" customHeight="1" x14ac:dyDescent="0.2">
      <c r="P193" s="143" t="s">
        <v>117</v>
      </c>
      <c r="Q193" s="143" t="s">
        <v>117</v>
      </c>
      <c r="R193" s="143" t="s">
        <v>117</v>
      </c>
      <c r="AI193" s="160" t="s">
        <v>128</v>
      </c>
      <c r="AJ193" s="160" t="s">
        <v>128</v>
      </c>
      <c r="AK193" s="160" t="s">
        <v>128</v>
      </c>
    </row>
    <row r="194" spans="1:60" ht="20" customHeight="1" x14ac:dyDescent="0.2">
      <c r="A194" s="199" t="s">
        <v>273</v>
      </c>
      <c r="B194" s="123"/>
      <c r="C194" s="123"/>
      <c r="D194" s="123"/>
      <c r="E194" s="123"/>
      <c r="F194" s="123"/>
      <c r="G194" s="123"/>
      <c r="H194" s="123"/>
      <c r="I194" s="123"/>
      <c r="J194" s="123"/>
      <c r="K194" s="123"/>
      <c r="L194" s="123"/>
      <c r="M194" s="123"/>
      <c r="N194" s="123"/>
      <c r="O194" s="123"/>
      <c r="P194" s="144" t="s">
        <v>271</v>
      </c>
      <c r="Q194" s="123"/>
      <c r="R194" s="123"/>
      <c r="S194" s="123"/>
      <c r="T194" s="123"/>
      <c r="V194" s="123"/>
      <c r="W194" s="123"/>
      <c r="X194" s="123"/>
      <c r="Y194" s="123"/>
      <c r="Z194" s="123"/>
      <c r="AA194" s="123"/>
      <c r="AB194" s="123"/>
      <c r="AC194" s="123"/>
      <c r="AD194" s="123"/>
      <c r="AE194" s="123"/>
      <c r="AF194" s="123"/>
      <c r="AG194" s="123"/>
      <c r="AH194" s="123"/>
      <c r="AI194" s="144" t="s">
        <v>209</v>
      </c>
      <c r="AJ194" s="123"/>
      <c r="AK194" s="123"/>
      <c r="AL194" s="123"/>
      <c r="AM194" s="123"/>
      <c r="AN194" s="123"/>
      <c r="AO194" s="123"/>
      <c r="AP194" s="123"/>
      <c r="AQ194" s="123"/>
      <c r="AR194" s="123"/>
      <c r="AS194" s="123"/>
      <c r="AT194" s="123"/>
      <c r="AU194" s="144" t="s">
        <v>280</v>
      </c>
      <c r="AV194" s="123"/>
      <c r="AW194" s="123"/>
      <c r="AX194" s="123"/>
      <c r="AZ194" s="117" t="s">
        <v>282</v>
      </c>
    </row>
    <row r="195" spans="1:60" ht="20" customHeight="1" x14ac:dyDescent="0.2">
      <c r="A195" s="199"/>
      <c r="B195" s="123"/>
      <c r="C195" s="123"/>
      <c r="D195" s="123"/>
      <c r="E195" s="123"/>
      <c r="F195" s="123"/>
      <c r="G195" s="123"/>
      <c r="H195" s="123"/>
      <c r="I195" s="123"/>
      <c r="J195" s="123"/>
      <c r="K195" s="123"/>
      <c r="L195" s="123"/>
      <c r="M195" s="123"/>
      <c r="N195" s="152" t="s">
        <v>270</v>
      </c>
      <c r="O195" s="123"/>
      <c r="P195" s="145" t="s">
        <v>272</v>
      </c>
      <c r="Q195" s="123"/>
      <c r="R195" s="123"/>
      <c r="S195" s="123"/>
      <c r="T195" s="123"/>
      <c r="V195" s="123"/>
      <c r="W195" s="123"/>
      <c r="X195" s="123"/>
      <c r="Y195" s="123"/>
      <c r="Z195" s="123"/>
      <c r="AA195" s="123"/>
      <c r="AB195" s="123"/>
      <c r="AC195" s="123"/>
      <c r="AD195" s="123"/>
      <c r="AE195" s="123"/>
      <c r="AF195" s="123"/>
      <c r="AG195" s="161" t="s">
        <v>278</v>
      </c>
      <c r="AH195" s="123"/>
      <c r="AI195" s="145" t="s">
        <v>279</v>
      </c>
      <c r="AJ195" s="123"/>
      <c r="AK195" s="123"/>
      <c r="AL195" s="123"/>
      <c r="AM195" s="123"/>
      <c r="AN195" s="123"/>
      <c r="AO195" s="123"/>
      <c r="AP195" s="123"/>
      <c r="AQ195" s="123"/>
      <c r="AR195" s="123"/>
      <c r="AS195" s="123"/>
      <c r="AT195" s="123"/>
      <c r="AU195" s="161" t="s">
        <v>281</v>
      </c>
      <c r="AV195" s="123"/>
      <c r="AW195" s="123"/>
      <c r="AX195" s="123"/>
      <c r="AZ195" s="129" t="s">
        <v>283</v>
      </c>
    </row>
    <row r="196" spans="1:60" ht="20" customHeight="1" x14ac:dyDescent="0.2">
      <c r="A196" s="199"/>
      <c r="B196" s="123"/>
      <c r="C196" s="123"/>
      <c r="D196" s="123"/>
      <c r="E196" s="123"/>
      <c r="F196" s="153">
        <v>-0.49530965043231845</v>
      </c>
      <c r="G196" s="154">
        <v>-0.82374990917742252</v>
      </c>
      <c r="H196" s="154">
        <v>0.15456239646300673</v>
      </c>
      <c r="I196" s="154">
        <v>-0.55489146802574396</v>
      </c>
      <c r="J196" s="154">
        <v>-0.24867960577830672</v>
      </c>
      <c r="K196" s="154">
        <v>-0.94867219030857086</v>
      </c>
      <c r="L196" s="154">
        <v>-0.10543742822483182</v>
      </c>
      <c r="M196" s="154">
        <v>-0.7630799924954772</v>
      </c>
      <c r="N196" s="155">
        <v>0.74762741150334477</v>
      </c>
      <c r="O196" s="156" t="s">
        <v>113</v>
      </c>
      <c r="P196" s="146" cm="1">
        <f t="array" ref="P196:R205">MMULT(Blueprint!F196:N205,Blueprint!P183:R191)</f>
        <v>-0.48269332998874992</v>
      </c>
      <c r="Q196" s="146">
        <v>-0.69595482293491062</v>
      </c>
      <c r="R196" s="146">
        <v>-0.43971703919435035</v>
      </c>
      <c r="S196" s="123"/>
      <c r="T196" s="123"/>
      <c r="V196" s="123"/>
      <c r="W196" s="123"/>
      <c r="X196" s="123"/>
      <c r="Y196" s="123"/>
      <c r="Z196" s="123"/>
      <c r="AA196" s="123"/>
      <c r="AB196" s="123"/>
      <c r="AC196" s="123"/>
      <c r="AD196" s="123"/>
      <c r="AE196" s="146" cm="1">
        <f t="array" ref="AE196:AG205">0.5*erf_10 + 0.399*X_10* EXP(-0.5*X_10^2)</f>
        <v>0.25475051639021185</v>
      </c>
      <c r="AF196" s="146">
        <v>0.17664817771039135</v>
      </c>
      <c r="AG196" s="146">
        <v>0.27276776166595817</v>
      </c>
      <c r="AH196" s="156" t="s">
        <v>113</v>
      </c>
      <c r="AI196" s="146" cm="1">
        <f t="array" ref="AI196:AK205">G_10* MaskGELU_10</f>
        <v>1.9346228791903938E-2</v>
      </c>
      <c r="AJ196" s="146">
        <v>1.1558453139022243E-2</v>
      </c>
      <c r="AK196" s="146">
        <v>1.6284735135263982E-2</v>
      </c>
      <c r="AL196" s="156" t="s">
        <v>113</v>
      </c>
      <c r="AM196" s="153" cm="1">
        <f t="array" ref="AM196:AU205">MMULT(G_9, TRANSPOSE(X_8))</f>
        <v>4.2495753704401142E-4</v>
      </c>
      <c r="AN196" s="154">
        <v>2.0535675694145192E-2</v>
      </c>
      <c r="AO196" s="154">
        <v>5.3940135242636E-3</v>
      </c>
      <c r="AP196" s="154">
        <v>1.1714980666189248E-3</v>
      </c>
      <c r="AQ196" s="154">
        <v>0</v>
      </c>
      <c r="AR196" s="154">
        <v>2.2236690834967428E-2</v>
      </c>
      <c r="AS196" s="154">
        <v>0</v>
      </c>
      <c r="AT196" s="154">
        <v>2.854853342740693E-2</v>
      </c>
      <c r="AU196" s="155">
        <v>4.7189417066190162E-2</v>
      </c>
      <c r="AV196" s="123"/>
      <c r="AW196" s="123"/>
      <c r="AX196" s="123"/>
      <c r="AY196" s="128" t="s">
        <v>113</v>
      </c>
      <c r="AZ196" s="125" cm="1">
        <f t="array" ref="AZ196:BH205">W_9 - lrate * dW_9</f>
        <v>-0.49535214618602286</v>
      </c>
      <c r="BA196" s="126">
        <v>-0.82580347674683707</v>
      </c>
      <c r="BB196" s="126">
        <v>0.15402299511058037</v>
      </c>
      <c r="BC196" s="126">
        <v>-0.55500861783240585</v>
      </c>
      <c r="BD196" s="126">
        <v>-0.24867960577830672</v>
      </c>
      <c r="BE196" s="126">
        <v>-0.95089585939206756</v>
      </c>
      <c r="BF196" s="126">
        <v>-0.10543742822483182</v>
      </c>
      <c r="BG196" s="126">
        <v>-0.76593484583821791</v>
      </c>
      <c r="BH196" s="127">
        <v>0.74290846979672576</v>
      </c>
    </row>
    <row r="197" spans="1:60" ht="20" customHeight="1" x14ac:dyDescent="0.2">
      <c r="A197" s="199"/>
      <c r="B197" s="123"/>
      <c r="C197" s="123"/>
      <c r="D197" s="123"/>
      <c r="E197" s="123"/>
      <c r="F197" s="153">
        <v>0.98926855064928532</v>
      </c>
      <c r="G197" s="154">
        <v>0.70640544733032584</v>
      </c>
      <c r="H197" s="154">
        <v>-6.4654368907213211E-4</v>
      </c>
      <c r="I197" s="154">
        <v>0.28400189289823174</v>
      </c>
      <c r="J197" s="154">
        <v>0.72291237488389015</v>
      </c>
      <c r="K197" s="154">
        <v>0.19293955294415355</v>
      </c>
      <c r="L197" s="154">
        <v>-0.81849968712776899</v>
      </c>
      <c r="M197" s="154">
        <v>-0.71958040399476886</v>
      </c>
      <c r="N197" s="155">
        <v>0.90017655305564404</v>
      </c>
      <c r="O197" s="156" t="s">
        <v>113</v>
      </c>
      <c r="P197" s="147">
        <v>0.78291969865384514</v>
      </c>
      <c r="Q197" s="147">
        <v>0.91831098673641787</v>
      </c>
      <c r="R197" s="147">
        <v>0.96541399156538688</v>
      </c>
      <c r="S197" s="123"/>
      <c r="T197" s="123"/>
      <c r="V197" s="123"/>
      <c r="W197" s="123"/>
      <c r="X197" s="123"/>
      <c r="Y197" s="123"/>
      <c r="Z197" s="123"/>
      <c r="AA197" s="123"/>
      <c r="AB197" s="123"/>
      <c r="AC197" s="123"/>
      <c r="AD197" s="123"/>
      <c r="AE197" s="147">
        <v>0.98588636517659523</v>
      </c>
      <c r="AF197" s="147">
        <v>1.0471445821444354</v>
      </c>
      <c r="AG197" s="147">
        <v>1.0650336170787511</v>
      </c>
      <c r="AH197" s="156" t="s">
        <v>113</v>
      </c>
      <c r="AI197" s="147">
        <v>0.16090115874249133</v>
      </c>
      <c r="AJ197" s="147">
        <v>0.17244516091025533</v>
      </c>
      <c r="AK197" s="147">
        <v>0.1642736891557707</v>
      </c>
      <c r="AL197" s="156" t="s">
        <v>113</v>
      </c>
      <c r="AM197" s="153">
        <v>3.759547364558748E-3</v>
      </c>
      <c r="AN197" s="154">
        <v>0.23858520495994628</v>
      </c>
      <c r="AO197" s="154">
        <v>6.2985178966145791E-2</v>
      </c>
      <c r="AP197" s="154">
        <v>1.3027082695202339E-2</v>
      </c>
      <c r="AQ197" s="154">
        <v>0</v>
      </c>
      <c r="AR197" s="154">
        <v>0.22039947530705467</v>
      </c>
      <c r="AS197" s="154">
        <v>0</v>
      </c>
      <c r="AT197" s="154">
        <v>0.31054574664883927</v>
      </c>
      <c r="AU197" s="155">
        <v>0.49762000880851731</v>
      </c>
      <c r="AV197" s="123"/>
      <c r="AW197" s="123"/>
      <c r="AX197" s="123"/>
      <c r="AY197" s="128" t="s">
        <v>113</v>
      </c>
      <c r="AZ197" s="125">
        <v>0.98889259591282941</v>
      </c>
      <c r="BA197" s="126">
        <v>0.68254692683433116</v>
      </c>
      <c r="BB197" s="126">
        <v>-6.9450615856867116E-3</v>
      </c>
      <c r="BC197" s="126">
        <v>0.28269918462871152</v>
      </c>
      <c r="BD197" s="126">
        <v>0.72291237488389015</v>
      </c>
      <c r="BE197" s="126">
        <v>0.17089960541344806</v>
      </c>
      <c r="BF197" s="126">
        <v>-0.81849968712776899</v>
      </c>
      <c r="BG197" s="126">
        <v>-0.75063497865965279</v>
      </c>
      <c r="BH197" s="127">
        <v>0.85041455217479234</v>
      </c>
    </row>
    <row r="198" spans="1:60" ht="20" customHeight="1" x14ac:dyDescent="0.2">
      <c r="A198" s="199"/>
      <c r="B198" s="123"/>
      <c r="C198" s="123"/>
      <c r="D198" s="123"/>
      <c r="E198" s="123"/>
      <c r="F198" s="153">
        <v>0.84911089157685637</v>
      </c>
      <c r="G198" s="154">
        <v>0.77893791254609823</v>
      </c>
      <c r="H198" s="154">
        <v>0.10101673984900117</v>
      </c>
      <c r="I198" s="154">
        <v>-0.63896689563989639</v>
      </c>
      <c r="J198" s="154">
        <v>0.10017094714567065</v>
      </c>
      <c r="K198" s="154">
        <v>-0.48206640686839819</v>
      </c>
      <c r="L198" s="154">
        <v>0.88624332519248128</v>
      </c>
      <c r="M198" s="154">
        <v>0.64300196059048176</v>
      </c>
      <c r="N198" s="155">
        <v>-0.68941218266263604</v>
      </c>
      <c r="O198" s="156" t="s">
        <v>113</v>
      </c>
      <c r="P198" s="147">
        <v>-0.69614654504889906</v>
      </c>
      <c r="Q198" s="147">
        <v>3.2007321026472191E-2</v>
      </c>
      <c r="R198" s="147">
        <v>0.2674459905023352</v>
      </c>
      <c r="S198" s="123"/>
      <c r="T198" s="123"/>
      <c r="V198" s="123"/>
      <c r="W198" s="123"/>
      <c r="X198" s="123"/>
      <c r="Y198" s="123"/>
      <c r="Z198" s="123"/>
      <c r="AA198" s="123"/>
      <c r="AB198" s="123"/>
      <c r="AC198" s="123"/>
      <c r="AD198" s="123"/>
      <c r="AE198" s="147">
        <v>0.17658629665841438</v>
      </c>
      <c r="AF198" s="147">
        <v>0.51931451735489875</v>
      </c>
      <c r="AG198" s="147">
        <v>0.66920244828009423</v>
      </c>
      <c r="AH198" s="156" t="s">
        <v>113</v>
      </c>
      <c r="AI198" s="147">
        <v>1.3178995063145422E-2</v>
      </c>
      <c r="AJ198" s="147">
        <v>4.091329518183514E-2</v>
      </c>
      <c r="AK198" s="147">
        <v>5.4312458582427538E-2</v>
      </c>
      <c r="AL198" s="156" t="s">
        <v>113</v>
      </c>
      <c r="AM198" s="153">
        <v>6.2704028602434119E-4</v>
      </c>
      <c r="AN198" s="154">
        <v>6.5523818824332697E-2</v>
      </c>
      <c r="AO198" s="154">
        <v>1.835282624680401E-2</v>
      </c>
      <c r="AP198" s="154">
        <v>2.2197393090671925E-3</v>
      </c>
      <c r="AQ198" s="154">
        <v>0</v>
      </c>
      <c r="AR198" s="154">
        <v>3.4328370722956393E-2</v>
      </c>
      <c r="AS198" s="154">
        <v>0</v>
      </c>
      <c r="AT198" s="154">
        <v>7.1442636082262673E-2</v>
      </c>
      <c r="AU198" s="155">
        <v>0.10840474882740811</v>
      </c>
      <c r="AV198" s="123"/>
      <c r="AW198" s="123"/>
      <c r="AX198" s="123"/>
      <c r="AY198" s="128" t="s">
        <v>113</v>
      </c>
      <c r="AZ198" s="125">
        <v>0.84904818754825395</v>
      </c>
      <c r="BA198" s="126">
        <v>0.772385530663665</v>
      </c>
      <c r="BB198" s="126">
        <v>9.9181457224320771E-2</v>
      </c>
      <c r="BC198" s="126">
        <v>-0.63918886957080312</v>
      </c>
      <c r="BD198" s="126">
        <v>0.10017094714567065</v>
      </c>
      <c r="BE198" s="126">
        <v>-0.48549924394069383</v>
      </c>
      <c r="BF198" s="126">
        <v>0.88624332519248128</v>
      </c>
      <c r="BG198" s="126">
        <v>0.63585769698225547</v>
      </c>
      <c r="BH198" s="127">
        <v>-0.7002526575453768</v>
      </c>
    </row>
    <row r="199" spans="1:60" ht="20" customHeight="1" x14ac:dyDescent="0.2">
      <c r="A199" s="199"/>
      <c r="B199" s="123"/>
      <c r="C199" s="123"/>
      <c r="D199" s="123"/>
      <c r="E199" s="123"/>
      <c r="F199" s="153">
        <v>0.65878942143172026</v>
      </c>
      <c r="G199" s="154">
        <v>-6.6155420150607824E-2</v>
      </c>
      <c r="H199" s="154">
        <v>-0.87859024479985237</v>
      </c>
      <c r="I199" s="154">
        <v>-0.95508952857926488</v>
      </c>
      <c r="J199" s="154">
        <v>7.4577544815838337E-2</v>
      </c>
      <c r="K199" s="154">
        <v>0.65992052899673581</v>
      </c>
      <c r="L199" s="154">
        <v>0.69066423736512661</v>
      </c>
      <c r="M199" s="154">
        <v>0.36183613305911422</v>
      </c>
      <c r="N199" s="155">
        <v>-0.23848383221775293</v>
      </c>
      <c r="O199" s="156" t="s">
        <v>113</v>
      </c>
      <c r="P199" s="147">
        <v>0.43667804739180149</v>
      </c>
      <c r="Q199" s="147">
        <v>7.6545944811937772E-2</v>
      </c>
      <c r="R199" s="147">
        <v>-0.15468482196507571</v>
      </c>
      <c r="S199" s="123"/>
      <c r="T199" s="123"/>
      <c r="V199" s="123"/>
      <c r="W199" s="123"/>
      <c r="X199" s="123"/>
      <c r="Y199" s="123"/>
      <c r="Z199" s="123"/>
      <c r="AA199" s="123"/>
      <c r="AB199" s="123"/>
      <c r="AC199" s="123"/>
      <c r="AD199" s="123"/>
      <c r="AE199" s="147">
        <v>0.78049478747951928</v>
      </c>
      <c r="AF199" s="147">
        <v>0.54669693949437226</v>
      </c>
      <c r="AG199" s="147">
        <v>0.41153105700446957</v>
      </c>
      <c r="AH199" s="156" t="s">
        <v>113</v>
      </c>
      <c r="AI199" s="147">
        <v>9.239620458279843E-2</v>
      </c>
      <c r="AJ199" s="147">
        <v>4.4125413653079766E-2</v>
      </c>
      <c r="AK199" s="147">
        <v>2.65437704186249E-2</v>
      </c>
      <c r="AL199" s="156" t="s">
        <v>113</v>
      </c>
      <c r="AM199" s="153">
        <v>1.6294397148413715E-3</v>
      </c>
      <c r="AN199" s="154">
        <v>5.427921600462042E-2</v>
      </c>
      <c r="AO199" s="154">
        <v>1.2673382682671234E-2</v>
      </c>
      <c r="AP199" s="154">
        <v>5.1183487271184705E-3</v>
      </c>
      <c r="AQ199" s="154">
        <v>0</v>
      </c>
      <c r="AR199" s="154">
        <v>9.5193228442794195E-2</v>
      </c>
      <c r="AS199" s="154">
        <v>0</v>
      </c>
      <c r="AT199" s="154">
        <v>9.4595828416346076E-2</v>
      </c>
      <c r="AU199" s="155">
        <v>0.1630653886545031</v>
      </c>
      <c r="AV199" s="123"/>
      <c r="AW199" s="123"/>
      <c r="AX199" s="123"/>
      <c r="AY199" s="128" t="s">
        <v>113</v>
      </c>
      <c r="AZ199" s="125">
        <v>0.65862647746023617</v>
      </c>
      <c r="BA199" s="126">
        <v>-7.1583341751069868E-2</v>
      </c>
      <c r="BB199" s="126">
        <v>-0.87985758306811945</v>
      </c>
      <c r="BC199" s="126">
        <v>-0.95560136345197677</v>
      </c>
      <c r="BD199" s="126">
        <v>7.4577544815838337E-2</v>
      </c>
      <c r="BE199" s="126">
        <v>0.65040120615245645</v>
      </c>
      <c r="BF199" s="126">
        <v>0.69066423736512661</v>
      </c>
      <c r="BG199" s="126">
        <v>0.3523765502174796</v>
      </c>
      <c r="BH199" s="127">
        <v>-0.25479037108320324</v>
      </c>
    </row>
    <row r="200" spans="1:60" ht="20" customHeight="1" x14ac:dyDescent="0.2">
      <c r="A200" s="199"/>
      <c r="B200" s="123"/>
      <c r="C200" s="123"/>
      <c r="D200" s="123"/>
      <c r="E200" s="123"/>
      <c r="F200" s="153">
        <v>0.17131369048729539</v>
      </c>
      <c r="G200" s="154">
        <v>0.39279431104660034</v>
      </c>
      <c r="H200" s="154">
        <v>0.42273078812286258</v>
      </c>
      <c r="I200" s="154">
        <v>0.43723615352064371</v>
      </c>
      <c r="J200" s="154">
        <v>0.98057489516213536</v>
      </c>
      <c r="K200" s="154">
        <v>-0.10049430094659328</v>
      </c>
      <c r="L200" s="154">
        <v>-0.80414718249812722</v>
      </c>
      <c r="M200" s="154">
        <v>-0.61681174952536821</v>
      </c>
      <c r="N200" s="155">
        <v>-0.10524276783689857</v>
      </c>
      <c r="O200" s="156" t="s">
        <v>113</v>
      </c>
      <c r="P200" s="147">
        <v>-0.43912507200241574</v>
      </c>
      <c r="Q200" s="147">
        <v>-0.25835900772067955</v>
      </c>
      <c r="R200" s="147">
        <v>-0.14718675332564102</v>
      </c>
      <c r="S200" s="123"/>
      <c r="T200" s="123"/>
      <c r="V200" s="123"/>
      <c r="W200" s="123"/>
      <c r="X200" s="123"/>
      <c r="Y200" s="123"/>
      <c r="Z200" s="123"/>
      <c r="AA200" s="123"/>
      <c r="AB200" s="123"/>
      <c r="AC200" s="123"/>
      <c r="AD200" s="123"/>
      <c r="AE200" s="147">
        <v>0.27302131519999756</v>
      </c>
      <c r="AF200" s="147">
        <v>0.35724674008410712</v>
      </c>
      <c r="AG200" s="147">
        <v>0.41561924604308975</v>
      </c>
      <c r="AH200" s="156" t="s">
        <v>113</v>
      </c>
      <c r="AI200" s="147">
        <v>2.0876179376025199E-2</v>
      </c>
      <c r="AJ200" s="147">
        <v>2.4981014287351905E-2</v>
      </c>
      <c r="AK200" s="147">
        <v>2.6884046259089016E-2</v>
      </c>
      <c r="AL200" s="156" t="s">
        <v>113</v>
      </c>
      <c r="AM200" s="153">
        <v>5.3128930217222062E-4</v>
      </c>
      <c r="AN200" s="154">
        <v>3.6580879208712377E-2</v>
      </c>
      <c r="AO200" s="154">
        <v>9.8103928531337245E-3</v>
      </c>
      <c r="AP200" s="154">
        <v>1.8023855608345959E-3</v>
      </c>
      <c r="AQ200" s="154">
        <v>0</v>
      </c>
      <c r="AR200" s="154">
        <v>3.0378367225675853E-2</v>
      </c>
      <c r="AS200" s="154">
        <v>0</v>
      </c>
      <c r="AT200" s="154">
        <v>4.58242871472469E-2</v>
      </c>
      <c r="AU200" s="155">
        <v>7.2741239922466117E-2</v>
      </c>
      <c r="AV200" s="123"/>
      <c r="AW200" s="123"/>
      <c r="AX200" s="123"/>
      <c r="AY200" s="128" t="s">
        <v>113</v>
      </c>
      <c r="AZ200" s="125">
        <v>0.17126056155707817</v>
      </c>
      <c r="BA200" s="126">
        <v>0.3891362231257291</v>
      </c>
      <c r="BB200" s="126">
        <v>0.42174974883754923</v>
      </c>
      <c r="BC200" s="126">
        <v>0.43705591496456025</v>
      </c>
      <c r="BD200" s="126">
        <v>0.98057489516213536</v>
      </c>
      <c r="BE200" s="126">
        <v>-0.10353213766916088</v>
      </c>
      <c r="BF200" s="126">
        <v>-0.80414718249812722</v>
      </c>
      <c r="BG200" s="126">
        <v>-0.62139417824009291</v>
      </c>
      <c r="BH200" s="127">
        <v>-0.11251689182914518</v>
      </c>
    </row>
    <row r="201" spans="1:60" ht="20" customHeight="1" x14ac:dyDescent="0.2">
      <c r="A201" s="199"/>
      <c r="B201" s="123"/>
      <c r="C201" s="123"/>
      <c r="D201" s="123"/>
      <c r="E201" s="123"/>
      <c r="F201" s="153">
        <v>-0.74599776789546013</v>
      </c>
      <c r="G201" s="154">
        <v>0.53752975491806865</v>
      </c>
      <c r="H201" s="154">
        <v>0.18744094390422106</v>
      </c>
      <c r="I201" s="154">
        <v>0.60928811924532056</v>
      </c>
      <c r="J201" s="154">
        <v>-0.2211772371083498</v>
      </c>
      <c r="K201" s="154">
        <v>-0.56846183026209474</v>
      </c>
      <c r="L201" s="154">
        <v>-0.45588106755167246</v>
      </c>
      <c r="M201" s="154">
        <v>-0.96183050191029906</v>
      </c>
      <c r="N201" s="155">
        <v>-0.44405629485845566</v>
      </c>
      <c r="O201" s="156" t="s">
        <v>113</v>
      </c>
      <c r="P201" s="147">
        <v>-1.3166485832536938</v>
      </c>
      <c r="Q201" s="147">
        <v>-0.97644308091986465</v>
      </c>
      <c r="R201" s="147">
        <v>-0.72765097460468953</v>
      </c>
      <c r="S201" s="123"/>
      <c r="T201" s="123"/>
      <c r="V201" s="123"/>
      <c r="W201" s="123"/>
      <c r="X201" s="123"/>
      <c r="Y201" s="123"/>
      <c r="Z201" s="123"/>
      <c r="AA201" s="123"/>
      <c r="AB201" s="123"/>
      <c r="AC201" s="123"/>
      <c r="AD201" s="123"/>
      <c r="AE201" s="147">
        <v>4.4983948473859128E-2</v>
      </c>
      <c r="AF201" s="147">
        <v>0.10118364425894981</v>
      </c>
      <c r="AG201" s="147">
        <v>0.16661644094639866</v>
      </c>
      <c r="AH201" s="156" t="s">
        <v>113</v>
      </c>
      <c r="AI201" s="147">
        <v>-4.1470264849409244E-2</v>
      </c>
      <c r="AJ201" s="147">
        <v>6.6786843668544069E-3</v>
      </c>
      <c r="AK201" s="147">
        <v>9.7045615583182948E-3</v>
      </c>
      <c r="AL201" s="156" t="s">
        <v>113</v>
      </c>
      <c r="AM201" s="153">
        <v>-5.6249883855023905E-4</v>
      </c>
      <c r="AN201" s="154">
        <v>7.5450015229613955E-3</v>
      </c>
      <c r="AO201" s="154">
        <v>3.182320353049768E-3</v>
      </c>
      <c r="AP201" s="154">
        <v>-1.1576819403767303E-3</v>
      </c>
      <c r="AQ201" s="154">
        <v>0</v>
      </c>
      <c r="AR201" s="154">
        <v>-2.8973843410659606E-2</v>
      </c>
      <c r="AS201" s="154">
        <v>0</v>
      </c>
      <c r="AT201" s="154">
        <v>-9.400703059276528E-3</v>
      </c>
      <c r="AU201" s="155">
        <v>-2.5087018924236544E-2</v>
      </c>
      <c r="AV201" s="123"/>
      <c r="AW201" s="123"/>
      <c r="AX201" s="123"/>
      <c r="AY201" s="128" t="s">
        <v>113</v>
      </c>
      <c r="AZ201" s="125">
        <v>-0.74594151801160513</v>
      </c>
      <c r="BA201" s="126">
        <v>0.53677525476577248</v>
      </c>
      <c r="BB201" s="126">
        <v>0.18712271186891608</v>
      </c>
      <c r="BC201" s="126">
        <v>0.60940388743935825</v>
      </c>
      <c r="BD201" s="126">
        <v>-0.2211772371083498</v>
      </c>
      <c r="BE201" s="126">
        <v>-0.56556444592102872</v>
      </c>
      <c r="BF201" s="126">
        <v>-0.45588106755167246</v>
      </c>
      <c r="BG201" s="126">
        <v>-0.96089043160437138</v>
      </c>
      <c r="BH201" s="127">
        <v>-0.44154759296603202</v>
      </c>
    </row>
    <row r="202" spans="1:60" ht="20" customHeight="1" x14ac:dyDescent="0.2">
      <c r="A202" s="199"/>
      <c r="B202" s="123"/>
      <c r="C202" s="123"/>
      <c r="D202" s="123"/>
      <c r="E202" s="123"/>
      <c r="F202" s="153">
        <v>-0.33206332521513104</v>
      </c>
      <c r="G202" s="154">
        <v>0.7657322296872735</v>
      </c>
      <c r="H202" s="154">
        <v>0.91175615461543202</v>
      </c>
      <c r="I202" s="154">
        <v>-0.61460280232131481</v>
      </c>
      <c r="J202" s="154">
        <v>0.7426020591519773</v>
      </c>
      <c r="K202" s="154">
        <v>0.16464589070528746</v>
      </c>
      <c r="L202" s="154">
        <v>-0.32663783570751548</v>
      </c>
      <c r="M202" s="154">
        <v>-0.37134510651230812</v>
      </c>
      <c r="N202" s="155">
        <v>-0.74128145398572087</v>
      </c>
      <c r="O202" s="156" t="s">
        <v>113</v>
      </c>
      <c r="P202" s="147">
        <v>-0.75499607154863435</v>
      </c>
      <c r="Q202" s="147">
        <v>-0.35053130123751064</v>
      </c>
      <c r="R202" s="147">
        <v>-0.21376809442221179</v>
      </c>
      <c r="S202" s="123"/>
      <c r="T202" s="123"/>
      <c r="V202" s="123"/>
      <c r="W202" s="123"/>
      <c r="X202" s="123"/>
      <c r="Y202" s="123"/>
      <c r="Z202" s="123"/>
      <c r="AA202" s="123"/>
      <c r="AB202" s="123"/>
      <c r="AC202" s="123"/>
      <c r="AD202" s="123"/>
      <c r="AE202" s="147">
        <v>0.15828060638349056</v>
      </c>
      <c r="AF202" s="147">
        <v>0.31261353622031973</v>
      </c>
      <c r="AG202" s="147">
        <v>0.38007550120676159</v>
      </c>
      <c r="AH202" s="156" t="s">
        <v>113</v>
      </c>
      <c r="AI202" s="147">
        <v>1.1804678933669594E-2</v>
      </c>
      <c r="AJ202" s="147">
        <v>2.1333283254099271E-2</v>
      </c>
      <c r="AK202" s="147">
        <v>2.4006476463483431E-2</v>
      </c>
      <c r="AL202" s="156" t="s">
        <v>113</v>
      </c>
      <c r="AM202" s="153">
        <v>3.6918977446498972E-4</v>
      </c>
      <c r="AN202" s="154">
        <v>3.1477142937981581E-2</v>
      </c>
      <c r="AO202" s="154">
        <v>8.6108395754166261E-3</v>
      </c>
      <c r="AP202" s="154">
        <v>1.3293188907400593E-3</v>
      </c>
      <c r="AQ202" s="154">
        <v>0</v>
      </c>
      <c r="AR202" s="154">
        <v>2.1284265854785881E-2</v>
      </c>
      <c r="AS202" s="154">
        <v>0</v>
      </c>
      <c r="AT202" s="154">
        <v>3.6841724616494209E-2</v>
      </c>
      <c r="AU202" s="155">
        <v>5.7144438651252294E-2</v>
      </c>
      <c r="AV202" s="123"/>
      <c r="AW202" s="123"/>
      <c r="AX202" s="123"/>
      <c r="AY202" s="128" t="s">
        <v>113</v>
      </c>
      <c r="AZ202" s="125">
        <v>-0.33210024419257755</v>
      </c>
      <c r="BA202" s="126">
        <v>0.76258451539347538</v>
      </c>
      <c r="BB202" s="126">
        <v>0.91089507065789033</v>
      </c>
      <c r="BC202" s="126">
        <v>-0.61473573421038885</v>
      </c>
      <c r="BD202" s="126">
        <v>0.7426020591519773</v>
      </c>
      <c r="BE202" s="126">
        <v>0.16251746411980886</v>
      </c>
      <c r="BF202" s="126">
        <v>-0.32663783570751548</v>
      </c>
      <c r="BG202" s="126">
        <v>-0.37502927897395755</v>
      </c>
      <c r="BH202" s="127">
        <v>-0.74699589785084608</v>
      </c>
    </row>
    <row r="203" spans="1:60" ht="20" customHeight="1" x14ac:dyDescent="0.2">
      <c r="A203" s="199"/>
      <c r="B203" s="123"/>
      <c r="C203" s="123"/>
      <c r="D203" s="123"/>
      <c r="E203" s="123"/>
      <c r="F203" s="153">
        <v>0.95994036365300417</v>
      </c>
      <c r="G203" s="154">
        <v>-0.79405453754588962</v>
      </c>
      <c r="H203" s="154">
        <v>0.84302737377583981</v>
      </c>
      <c r="I203" s="154">
        <v>0.61147017544135451</v>
      </c>
      <c r="J203" s="154">
        <v>-0.13408753369003534</v>
      </c>
      <c r="K203" s="154">
        <v>0.42012053960934281</v>
      </c>
      <c r="L203" s="154">
        <v>-0.38667081296443939</v>
      </c>
      <c r="M203" s="154">
        <v>-0.76281368779018521</v>
      </c>
      <c r="N203" s="155">
        <v>1.8466987647116184E-2</v>
      </c>
      <c r="O203" s="156" t="s">
        <v>113</v>
      </c>
      <c r="P203" s="147">
        <v>-5.7841843106556046E-2</v>
      </c>
      <c r="Q203" s="147">
        <v>-0.67921669909583948</v>
      </c>
      <c r="R203" s="147">
        <v>-0.81234570239983661</v>
      </c>
      <c r="S203" s="123"/>
      <c r="T203" s="123"/>
      <c r="V203" s="123"/>
      <c r="W203" s="123"/>
      <c r="X203" s="123"/>
      <c r="Y203" s="123"/>
      <c r="Z203" s="123"/>
      <c r="AA203" s="123"/>
      <c r="AB203" s="123"/>
      <c r="AC203" s="123"/>
      <c r="AD203" s="123"/>
      <c r="AE203" s="147">
        <v>0.46593430548769588</v>
      </c>
      <c r="AF203" s="147">
        <v>0.18210733980020855</v>
      </c>
      <c r="AG203" s="147">
        <v>0.14174193923817077</v>
      </c>
      <c r="AH203" s="156" t="s">
        <v>113</v>
      </c>
      <c r="AI203" s="147">
        <v>4.0067007394860042E-2</v>
      </c>
      <c r="AJ203" s="147">
        <v>1.1921503960524943E-2</v>
      </c>
      <c r="AK203" s="147">
        <v>8.260990340731713E-3</v>
      </c>
      <c r="AL203" s="156" t="s">
        <v>113</v>
      </c>
      <c r="AM203" s="153">
        <v>6.8121607158984972E-4</v>
      </c>
      <c r="AN203" s="154">
        <v>1.675191279424449E-2</v>
      </c>
      <c r="AO203" s="154">
        <v>3.6662019137709647E-3</v>
      </c>
      <c r="AP203" s="154">
        <v>1.9091534575997986E-3</v>
      </c>
      <c r="AQ203" s="154">
        <v>0</v>
      </c>
      <c r="AR203" s="154">
        <v>3.7863103862159492E-2</v>
      </c>
      <c r="AS203" s="154">
        <v>0</v>
      </c>
      <c r="AT203" s="154">
        <v>3.3763686171008146E-2</v>
      </c>
      <c r="AU203" s="155">
        <v>6.0249501696116703E-2</v>
      </c>
      <c r="AV203" s="123"/>
      <c r="AW203" s="123"/>
      <c r="AX203" s="123"/>
      <c r="AY203" s="128" t="s">
        <v>113</v>
      </c>
      <c r="AZ203" s="125">
        <v>0.9598722420458452</v>
      </c>
      <c r="BA203" s="126">
        <v>-0.79572972882531412</v>
      </c>
      <c r="BB203" s="126">
        <v>0.84266075358446269</v>
      </c>
      <c r="BC203" s="126">
        <v>0.61127926009559452</v>
      </c>
      <c r="BD203" s="126">
        <v>-0.13408753369003534</v>
      </c>
      <c r="BE203" s="126">
        <v>0.41633422922312685</v>
      </c>
      <c r="BF203" s="126">
        <v>-0.38667081296443939</v>
      </c>
      <c r="BG203" s="126">
        <v>-0.76619005640728599</v>
      </c>
      <c r="BH203" s="127">
        <v>1.2442037477504515E-2</v>
      </c>
    </row>
    <row r="204" spans="1:60" ht="20" customHeight="1" x14ac:dyDescent="0.2">
      <c r="A204" s="199"/>
      <c r="B204" s="123"/>
      <c r="C204" s="123"/>
      <c r="D204" s="123"/>
      <c r="E204" s="123"/>
      <c r="F204" s="153">
        <v>-0.76525073824450374</v>
      </c>
      <c r="G204" s="154">
        <v>-0.51294048689305782</v>
      </c>
      <c r="H204" s="154">
        <v>0.20819027861580253</v>
      </c>
      <c r="I204" s="154">
        <v>0.39564891438931227</v>
      </c>
      <c r="J204" s="154">
        <v>-1.8640184309333563E-2</v>
      </c>
      <c r="K204" s="154">
        <v>-0.58065154775977135</v>
      </c>
      <c r="L204" s="154">
        <v>-0.54539888771250844</v>
      </c>
      <c r="M204" s="154">
        <v>0.38856628257781267</v>
      </c>
      <c r="N204" s="155">
        <v>0.76364377932623029</v>
      </c>
      <c r="O204" s="156" t="s">
        <v>113</v>
      </c>
      <c r="P204" s="147">
        <v>0.45239044296641129</v>
      </c>
      <c r="Q204" s="147">
        <v>0.5294786725908589</v>
      </c>
      <c r="R204" s="147">
        <v>0.6185445686360489</v>
      </c>
      <c r="S204" s="123"/>
      <c r="T204" s="123"/>
      <c r="V204" s="123"/>
      <c r="W204" s="123"/>
      <c r="X204" s="123"/>
      <c r="Y204" s="123"/>
      <c r="Z204" s="123"/>
      <c r="AA204" s="123"/>
      <c r="AB204" s="123"/>
      <c r="AC204" s="123"/>
      <c r="AD204" s="123"/>
      <c r="AE204" s="147">
        <v>0.79071881916329756</v>
      </c>
      <c r="AF204" s="147">
        <v>0.84013009761995605</v>
      </c>
      <c r="AG204" s="147">
        <v>0.89492935352366465</v>
      </c>
      <c r="AH204" s="156" t="s">
        <v>113</v>
      </c>
      <c r="AI204" s="147">
        <v>9.4838749882171822E-2</v>
      </c>
      <c r="AJ204" s="147">
        <v>-0.74571900958392645</v>
      </c>
      <c r="AK204" s="147">
        <v>-0.79778502879346891</v>
      </c>
      <c r="AL204" s="156" t="s">
        <v>113</v>
      </c>
      <c r="AM204" s="153">
        <v>-4.7711872703546359E-3</v>
      </c>
      <c r="AN204" s="154">
        <v>-1.0267371682416129</v>
      </c>
      <c r="AO204" s="154">
        <v>-0.29180014919708386</v>
      </c>
      <c r="AP204" s="154">
        <v>-2.8783676701830865E-2</v>
      </c>
      <c r="AQ204" s="154">
        <v>0</v>
      </c>
      <c r="AR204" s="154">
        <v>-0.33537124512440769</v>
      </c>
      <c r="AS204" s="154">
        <v>0</v>
      </c>
      <c r="AT204" s="154">
        <v>-1.0089434178099004</v>
      </c>
      <c r="AU204" s="155">
        <v>-1.4486652884952236</v>
      </c>
      <c r="AV204" s="123"/>
      <c r="AW204" s="123"/>
      <c r="AX204" s="123"/>
      <c r="AY204" s="128" t="s">
        <v>113</v>
      </c>
      <c r="AZ204" s="125">
        <v>-0.76477361951746825</v>
      </c>
      <c r="BA204" s="126">
        <v>-0.41026677006889656</v>
      </c>
      <c r="BB204" s="126">
        <v>0.23737029353551092</v>
      </c>
      <c r="BC204" s="126">
        <v>0.39852728205949534</v>
      </c>
      <c r="BD204" s="126">
        <v>-1.8640184309333563E-2</v>
      </c>
      <c r="BE204" s="126">
        <v>-0.54711442324733062</v>
      </c>
      <c r="BF204" s="126">
        <v>-0.54539888771250844</v>
      </c>
      <c r="BG204" s="126">
        <v>0.48946062435880272</v>
      </c>
      <c r="BH204" s="127">
        <v>0.90851030817575262</v>
      </c>
    </row>
    <row r="205" spans="1:60" ht="20" customHeight="1" x14ac:dyDescent="0.2">
      <c r="A205" s="199"/>
      <c r="B205" s="123"/>
      <c r="C205" s="123"/>
      <c r="D205" s="123"/>
      <c r="E205" s="123"/>
      <c r="F205" s="153">
        <v>0.63391893915832043</v>
      </c>
      <c r="G205" s="154">
        <v>0.39433844899758697</v>
      </c>
      <c r="H205" s="154">
        <v>0.67895365413278341</v>
      </c>
      <c r="I205" s="154">
        <v>-0.19671868300065398</v>
      </c>
      <c r="J205" s="154">
        <v>-0.69368571788072586</v>
      </c>
      <c r="K205" s="154">
        <v>-0.74741946952417493</v>
      </c>
      <c r="L205" s="154">
        <v>7.9626218415796757E-2</v>
      </c>
      <c r="M205" s="154">
        <v>0.30334449978545308</v>
      </c>
      <c r="N205" s="155">
        <v>0.97564132697880268</v>
      </c>
      <c r="O205" s="156" t="s">
        <v>113</v>
      </c>
      <c r="P205" s="148">
        <v>0.56858498985640726</v>
      </c>
      <c r="Q205" s="148">
        <v>1.2167926134362608</v>
      </c>
      <c r="R205" s="148">
        <v>1.5238110580022455</v>
      </c>
      <c r="S205" s="123"/>
      <c r="T205" s="149" t="str">
        <f>HYPERLINK("#Blueprint!torchcode", "&lt;/&gt;")</f>
        <v>&lt;/&gt;</v>
      </c>
      <c r="V205" s="149" t="str">
        <f>HYPERLINK("#Blueprint!torchcode", "&lt;/&gt;")</f>
        <v>&lt;/&gt;</v>
      </c>
      <c r="W205" s="123"/>
      <c r="X205" s="123"/>
      <c r="Y205" s="123"/>
      <c r="Z205" s="123"/>
      <c r="AA205" s="123"/>
      <c r="AB205" s="123"/>
      <c r="AC205" s="123"/>
      <c r="AD205" s="123"/>
      <c r="AE205" s="148">
        <v>0.86455594048881035</v>
      </c>
      <c r="AF205" s="148">
        <v>1.1286327848928062</v>
      </c>
      <c r="AG205" s="148">
        <v>1.141968191020303</v>
      </c>
      <c r="AH205" s="156" t="s">
        <v>113</v>
      </c>
      <c r="AI205" s="148">
        <v>0.11477259862269647</v>
      </c>
      <c r="AJ205" s="148">
        <v>0.25775253346261329</v>
      </c>
      <c r="AK205" s="148">
        <v>0.32828407738402821</v>
      </c>
      <c r="AL205" s="156" t="s">
        <v>113</v>
      </c>
      <c r="AM205" s="153">
        <v>4.3305183998383449E-3</v>
      </c>
      <c r="AN205" s="154">
        <v>0.40551111014124769</v>
      </c>
      <c r="AO205" s="154">
        <v>0.11253635342938539</v>
      </c>
      <c r="AP205" s="154">
        <v>1.5090484112483132E-2</v>
      </c>
      <c r="AQ205" s="154">
        <v>0</v>
      </c>
      <c r="AR205" s="154">
        <v>0.23977786148474972</v>
      </c>
      <c r="AS205" s="154">
        <v>0</v>
      </c>
      <c r="AT205" s="154">
        <v>0.45663023357469013</v>
      </c>
      <c r="AU205" s="155">
        <v>0.70080920946933789</v>
      </c>
      <c r="AV205" s="123"/>
      <c r="AW205" s="123"/>
      <c r="AX205" s="123"/>
      <c r="AY205" s="128" t="s">
        <v>113</v>
      </c>
      <c r="AZ205" s="125">
        <v>0.63348588731833655</v>
      </c>
      <c r="BA205" s="126">
        <v>0.35378733798346218</v>
      </c>
      <c r="BB205" s="126">
        <v>0.66770001878984486</v>
      </c>
      <c r="BC205" s="126">
        <v>-0.19822773141190231</v>
      </c>
      <c r="BD205" s="126">
        <v>-0.69368571788072586</v>
      </c>
      <c r="BE205" s="126">
        <v>-0.77139725567264994</v>
      </c>
      <c r="BF205" s="126">
        <v>7.9626218415796757E-2</v>
      </c>
      <c r="BG205" s="126">
        <v>0.25768147642798406</v>
      </c>
      <c r="BH205" s="127">
        <v>0.90556040603186894</v>
      </c>
    </row>
    <row r="206" spans="1:60" ht="20" customHeight="1" x14ac:dyDescent="0.2">
      <c r="A206" s="199"/>
      <c r="B206" s="123"/>
      <c r="C206" s="123"/>
      <c r="D206" s="123"/>
      <c r="E206" s="123"/>
      <c r="F206" s="123"/>
      <c r="G206" s="123"/>
      <c r="H206" s="123"/>
      <c r="I206" s="123"/>
      <c r="J206" s="123"/>
      <c r="K206" s="123"/>
      <c r="L206" s="123"/>
      <c r="M206" s="123"/>
      <c r="N206" s="123"/>
      <c r="O206" s="123"/>
      <c r="P206" s="123"/>
      <c r="Q206" s="123"/>
      <c r="R206" s="123"/>
      <c r="S206" s="123"/>
      <c r="T206" s="150" t="str">
        <f>HYPERLINK("#X", "▲")</f>
        <v>▲</v>
      </c>
      <c r="V206" s="150" t="str">
        <f>HYPERLINK("#X", "▲")</f>
        <v>▲</v>
      </c>
      <c r="W206" s="123"/>
      <c r="X206" s="123"/>
      <c r="Y206" s="123"/>
      <c r="Z206" s="123"/>
      <c r="AA206" s="123"/>
      <c r="AB206" s="123"/>
      <c r="AC206" s="123"/>
      <c r="AD206" s="123"/>
      <c r="AE206" s="123"/>
      <c r="AF206" s="123"/>
      <c r="AG206" s="123"/>
      <c r="AH206" s="123"/>
      <c r="AI206" s="123"/>
      <c r="AJ206" s="123"/>
      <c r="AK206" s="123"/>
      <c r="AL206" s="123"/>
      <c r="AM206" s="123"/>
      <c r="AN206" s="123"/>
      <c r="AO206" s="123"/>
      <c r="AP206" s="123"/>
      <c r="AQ206" s="123"/>
      <c r="AR206" s="123"/>
      <c r="AS206" s="123"/>
      <c r="AT206" s="123"/>
      <c r="AU206" s="123"/>
      <c r="AV206" s="123"/>
      <c r="AW206" s="123"/>
      <c r="AX206" s="123"/>
    </row>
    <row r="207" spans="1:60" ht="20" customHeight="1" x14ac:dyDescent="0.2">
      <c r="P207" s="143" t="s">
        <v>117</v>
      </c>
      <c r="Q207" s="143" t="s">
        <v>117</v>
      </c>
      <c r="R207" s="143" t="s">
        <v>117</v>
      </c>
      <c r="AI207" s="160" t="s">
        <v>128</v>
      </c>
      <c r="AJ207" s="160" t="s">
        <v>128</v>
      </c>
      <c r="AK207" s="160" t="s">
        <v>128</v>
      </c>
    </row>
    <row r="208" spans="1:60" ht="20" customHeight="1" x14ac:dyDescent="0.2">
      <c r="A208" s="198" t="s">
        <v>277</v>
      </c>
      <c r="B208" s="130"/>
      <c r="C208" s="130"/>
      <c r="D208" s="130"/>
      <c r="E208" s="130"/>
      <c r="F208" s="130"/>
      <c r="G208" s="130"/>
      <c r="H208" s="130"/>
      <c r="I208" s="130"/>
      <c r="J208" s="130"/>
      <c r="K208" s="130"/>
      <c r="L208" s="130"/>
      <c r="M208" s="130"/>
      <c r="N208" s="130"/>
      <c r="O208" s="130"/>
      <c r="P208" s="131" t="s">
        <v>274</v>
      </c>
      <c r="Q208" s="130"/>
      <c r="R208" s="130"/>
      <c r="S208" s="130"/>
      <c r="T208" s="130"/>
      <c r="V208" s="130"/>
      <c r="W208" s="130"/>
      <c r="X208" s="130"/>
      <c r="Y208" s="130"/>
      <c r="Z208" s="130"/>
      <c r="AA208" s="130"/>
      <c r="AB208" s="130"/>
      <c r="AC208" s="130"/>
      <c r="AD208" s="130"/>
      <c r="AE208" s="130"/>
      <c r="AF208" s="130"/>
      <c r="AG208" s="130"/>
      <c r="AH208" s="130"/>
      <c r="AI208" s="131" t="s">
        <v>207</v>
      </c>
      <c r="AJ208" s="130"/>
      <c r="AK208" s="130"/>
      <c r="AL208" s="130"/>
      <c r="AM208" s="130"/>
      <c r="AN208" s="130"/>
      <c r="AO208" s="130"/>
      <c r="AP208" s="130"/>
      <c r="AQ208" s="130"/>
      <c r="AR208" s="130"/>
      <c r="AS208" s="130"/>
      <c r="AT208" s="130"/>
      <c r="AU208" s="130"/>
      <c r="AV208" s="130"/>
      <c r="AW208" s="130"/>
      <c r="AX208" s="130"/>
    </row>
    <row r="209" spans="1:50" ht="20" customHeight="1" x14ac:dyDescent="0.2">
      <c r="A209" s="198"/>
      <c r="B209" s="130"/>
      <c r="C209" s="130"/>
      <c r="D209" s="130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3" t="s">
        <v>275</v>
      </c>
      <c r="Q209" s="130"/>
      <c r="R209" s="130"/>
      <c r="S209" s="130"/>
      <c r="T209" s="130"/>
      <c r="V209" s="130"/>
      <c r="W209" s="130"/>
      <c r="X209" s="130"/>
      <c r="Y209" s="130"/>
      <c r="Z209" s="130"/>
      <c r="AA209" s="130"/>
      <c r="AB209" s="130"/>
      <c r="AC209" s="130"/>
      <c r="AD209" s="130"/>
      <c r="AE209" s="130"/>
      <c r="AF209" s="130"/>
      <c r="AG209" s="162" t="s">
        <v>206</v>
      </c>
      <c r="AH209" s="130"/>
      <c r="AI209" s="133" t="s">
        <v>208</v>
      </c>
      <c r="AJ209" s="130"/>
      <c r="AK209" s="130"/>
      <c r="AL209" s="130"/>
      <c r="AM209" s="130"/>
      <c r="AN209" s="130"/>
      <c r="AO209" s="130"/>
      <c r="AP209" s="130"/>
      <c r="AQ209" s="130"/>
      <c r="AR209" s="130"/>
      <c r="AS209" s="130"/>
      <c r="AT209" s="130"/>
      <c r="AU209" s="130"/>
      <c r="AV209" s="130"/>
      <c r="AW209" s="130"/>
      <c r="AX209" s="130"/>
    </row>
    <row r="210" spans="1:50" ht="20" customHeight="1" x14ac:dyDescent="0.2">
      <c r="A210" s="198"/>
      <c r="B210" s="130"/>
      <c r="C210" s="130"/>
      <c r="D210" s="130"/>
      <c r="E210" s="130"/>
      <c r="F210" s="130"/>
      <c r="G210" s="130"/>
      <c r="H210" s="130"/>
      <c r="I210" s="130"/>
      <c r="J210" s="130"/>
      <c r="K210" s="130"/>
      <c r="L210" s="130"/>
      <c r="M210" s="130"/>
      <c r="N210" s="130"/>
      <c r="O210" s="130"/>
      <c r="P210" s="138" cm="1">
        <f t="array" ref="P210:R219">1+ERF(Blueprint!P196:R205/SQRT(2))</f>
        <v>0.62931349991063534</v>
      </c>
      <c r="Q210" s="138">
        <v>0.48645712250742046</v>
      </c>
      <c r="R210" s="138">
        <v>0.66014206003293907</v>
      </c>
      <c r="S210" s="130"/>
      <c r="T210" s="130"/>
      <c r="V210" s="130"/>
      <c r="W210" s="130"/>
      <c r="X210" s="130"/>
      <c r="Y210" s="130"/>
      <c r="Z210" s="130"/>
      <c r="AA210" s="130"/>
      <c r="AB210" s="130"/>
      <c r="AC210" s="130"/>
      <c r="AD210" s="130"/>
      <c r="AE210" s="151" cm="1">
        <f t="array" ref="AE210:AG210">_xlfn.BYCOL(G_11*X_11,_xlfn.LAMBDA(_xlpm.c,SUM(_xlpm.c)))</f>
        <v>-1</v>
      </c>
      <c r="AF210" s="151">
        <v>-0.99999999999999989</v>
      </c>
      <c r="AG210" s="151">
        <v>-1</v>
      </c>
      <c r="AH210" s="137" t="s">
        <v>113</v>
      </c>
      <c r="AI210" s="138" cm="1">
        <f t="array" ref="AI210:AK219">X_11*(G_11-sumGX_11)</f>
        <v>7.5941862909791019E-2</v>
      </c>
      <c r="AJ210" s="138">
        <v>6.5432054204215634E-2</v>
      </c>
      <c r="AK210" s="138">
        <v>5.9701832195283001E-2</v>
      </c>
      <c r="AL210" s="130"/>
      <c r="AM210" s="130"/>
      <c r="AN210" s="130"/>
      <c r="AO210" s="130"/>
      <c r="AP210" s="130"/>
      <c r="AQ210" s="130"/>
      <c r="AR210" s="130"/>
      <c r="AS210" s="130"/>
      <c r="AT210" s="130"/>
      <c r="AU210" s="130"/>
      <c r="AV210" s="130"/>
      <c r="AW210" s="130"/>
      <c r="AX210" s="130"/>
    </row>
    <row r="211" spans="1:50" ht="20" customHeight="1" x14ac:dyDescent="0.2">
      <c r="A211" s="198"/>
      <c r="B211" s="130"/>
      <c r="C211" s="130"/>
      <c r="D211" s="130"/>
      <c r="E211" s="130"/>
      <c r="F211" s="130"/>
      <c r="G211" s="130"/>
      <c r="H211" s="130"/>
      <c r="I211" s="130"/>
      <c r="J211" s="130"/>
      <c r="K211" s="130"/>
      <c r="L211" s="130"/>
      <c r="M211" s="130"/>
      <c r="N211" s="130"/>
      <c r="O211" s="130"/>
      <c r="P211" s="139">
        <v>1.5663257309755707</v>
      </c>
      <c r="Q211" s="139">
        <v>1.6415439230217261</v>
      </c>
      <c r="R211" s="139">
        <v>1.6656625037560107</v>
      </c>
      <c r="S211" s="130"/>
      <c r="T211" s="130"/>
      <c r="V211" s="130"/>
      <c r="W211" s="130"/>
      <c r="X211" s="130"/>
      <c r="Y211" s="130"/>
      <c r="Z211" s="130"/>
      <c r="AA211" s="130"/>
      <c r="AB211" s="130"/>
      <c r="AC211" s="130"/>
      <c r="AD211" s="130"/>
      <c r="AE211" s="130"/>
      <c r="AF211" s="130"/>
      <c r="AG211" s="130"/>
      <c r="AH211" s="130"/>
      <c r="AI211" s="139">
        <v>0.16320456842272099</v>
      </c>
      <c r="AJ211" s="139">
        <v>0.16468132849153158</v>
      </c>
      <c r="AK211" s="139">
        <v>0.15424272672852535</v>
      </c>
      <c r="AL211" s="130"/>
      <c r="AM211" s="130"/>
      <c r="AN211" s="130"/>
      <c r="AO211" s="130"/>
      <c r="AP211" s="130"/>
      <c r="AQ211" s="130"/>
      <c r="AR211" s="130"/>
      <c r="AS211" s="130"/>
      <c r="AT211" s="130"/>
      <c r="AU211" s="130"/>
      <c r="AV211" s="130"/>
      <c r="AW211" s="130"/>
      <c r="AX211" s="130"/>
    </row>
    <row r="212" spans="1:50" ht="20" customHeight="1" x14ac:dyDescent="0.2">
      <c r="A212" s="198"/>
      <c r="B212" s="130"/>
      <c r="C212" s="130"/>
      <c r="D212" s="130"/>
      <c r="E212" s="130"/>
      <c r="F212" s="130"/>
      <c r="G212" s="130"/>
      <c r="H212" s="130"/>
      <c r="I212" s="130"/>
      <c r="J212" s="130"/>
      <c r="K212" s="130"/>
      <c r="L212" s="130"/>
      <c r="M212" s="130"/>
      <c r="N212" s="130"/>
      <c r="O212" s="130"/>
      <c r="P212" s="139">
        <v>0.48633706001590149</v>
      </c>
      <c r="Q212" s="139">
        <v>1.0255337874446862</v>
      </c>
      <c r="R212" s="139">
        <v>1.2108742067288067</v>
      </c>
      <c r="S212" s="130"/>
      <c r="T212" s="130"/>
      <c r="V212" s="130"/>
      <c r="W212" s="130"/>
      <c r="X212" s="130"/>
      <c r="Y212" s="130"/>
      <c r="Z212" s="130"/>
      <c r="AA212" s="130"/>
      <c r="AB212" s="130"/>
      <c r="AC212" s="130"/>
      <c r="AD212" s="130"/>
      <c r="AE212" s="130"/>
      <c r="AF212" s="130"/>
      <c r="AG212" s="130"/>
      <c r="AH212" s="130"/>
      <c r="AI212" s="139">
        <v>7.4632037210897811E-2</v>
      </c>
      <c r="AJ212" s="139">
        <v>7.8783268740925755E-2</v>
      </c>
      <c r="AK212" s="139">
        <v>8.1159981888911284E-2</v>
      </c>
      <c r="AL212" s="130"/>
      <c r="AM212" s="130"/>
      <c r="AN212" s="130"/>
      <c r="AO212" s="130"/>
      <c r="AP212" s="130"/>
      <c r="AQ212" s="130"/>
      <c r="AR212" s="130"/>
      <c r="AS212" s="130"/>
      <c r="AT212" s="130"/>
      <c r="AU212" s="130"/>
      <c r="AV212" s="130"/>
      <c r="AW212" s="130"/>
      <c r="AX212" s="130"/>
    </row>
    <row r="213" spans="1:50" ht="20" customHeight="1" x14ac:dyDescent="0.2">
      <c r="A213" s="198"/>
      <c r="B213" s="130"/>
      <c r="C213" s="130"/>
      <c r="D213" s="130"/>
      <c r="E213" s="130"/>
      <c r="F213" s="130"/>
      <c r="G213" s="130"/>
      <c r="H213" s="130"/>
      <c r="I213" s="130"/>
      <c r="J213" s="130"/>
      <c r="K213" s="130"/>
      <c r="L213" s="130"/>
      <c r="M213" s="130"/>
      <c r="N213" s="130"/>
      <c r="O213" s="130"/>
      <c r="P213" s="139">
        <v>1.3376551480489698</v>
      </c>
      <c r="Q213" s="139">
        <v>1.0610152375040063</v>
      </c>
      <c r="R213" s="139">
        <v>0.87706979627858961</v>
      </c>
      <c r="S213" s="130"/>
      <c r="T213" s="130"/>
      <c r="V213" s="130"/>
      <c r="W213" s="130"/>
      <c r="X213" s="130"/>
      <c r="Y213" s="130"/>
      <c r="Z213" s="130"/>
      <c r="AA213" s="130"/>
      <c r="AB213" s="130"/>
      <c r="AC213" s="130"/>
      <c r="AD213" s="130"/>
      <c r="AE213" s="130"/>
      <c r="AF213" s="130"/>
      <c r="AG213" s="130"/>
      <c r="AH213" s="130"/>
      <c r="AI213" s="139">
        <v>0.11838157802587884</v>
      </c>
      <c r="AJ213" s="139">
        <v>8.0712750457118662E-2</v>
      </c>
      <c r="AK213" s="139">
        <v>6.4500041896805402E-2</v>
      </c>
      <c r="AL213" s="130"/>
      <c r="AM213" s="130"/>
      <c r="AN213" s="130"/>
      <c r="AO213" s="130"/>
      <c r="AP213" s="130"/>
      <c r="AQ213" s="130"/>
      <c r="AR213" s="130"/>
      <c r="AS213" s="130"/>
      <c r="AT213" s="130"/>
      <c r="AU213" s="130"/>
      <c r="AV213" s="130"/>
      <c r="AW213" s="130"/>
      <c r="AX213" s="130"/>
    </row>
    <row r="214" spans="1:50" ht="20" customHeight="1" x14ac:dyDescent="0.2">
      <c r="A214" s="198"/>
      <c r="B214" s="130"/>
      <c r="C214" s="130"/>
      <c r="D214" s="130"/>
      <c r="E214" s="130"/>
      <c r="F214" s="130"/>
      <c r="G214" s="130"/>
      <c r="H214" s="130"/>
      <c r="I214" s="130"/>
      <c r="J214" s="130"/>
      <c r="K214" s="130"/>
      <c r="L214" s="130"/>
      <c r="M214" s="130"/>
      <c r="N214" s="130"/>
      <c r="O214" s="130"/>
      <c r="P214" s="139">
        <v>0.66057091312513228</v>
      </c>
      <c r="Q214" s="139">
        <v>0.79612984996211922</v>
      </c>
      <c r="R214" s="139">
        <v>0.88298461603586198</v>
      </c>
      <c r="S214" s="130"/>
      <c r="T214" s="130"/>
      <c r="V214" s="130"/>
      <c r="W214" s="130"/>
      <c r="X214" s="130"/>
      <c r="Y214" s="130"/>
      <c r="Z214" s="130"/>
      <c r="AA214" s="130"/>
      <c r="AB214" s="130"/>
      <c r="AC214" s="130"/>
      <c r="AD214" s="130"/>
      <c r="AE214" s="130"/>
      <c r="AF214" s="130"/>
      <c r="AG214" s="130"/>
      <c r="AH214" s="130"/>
      <c r="AI214" s="139">
        <v>7.6463551429062138E-2</v>
      </c>
      <c r="AJ214" s="139">
        <v>6.9926500327114505E-2</v>
      </c>
      <c r="AK214" s="139">
        <v>6.4684315067309914E-2</v>
      </c>
      <c r="AL214" s="130"/>
      <c r="AM214" s="130"/>
      <c r="AN214" s="130"/>
      <c r="AO214" s="130"/>
      <c r="AP214" s="130"/>
      <c r="AQ214" s="130"/>
      <c r="AR214" s="130"/>
      <c r="AS214" s="130"/>
      <c r="AT214" s="130"/>
      <c r="AU214" s="130"/>
      <c r="AV214" s="130"/>
      <c r="AW214" s="130"/>
      <c r="AX214" s="130"/>
    </row>
    <row r="215" spans="1:50" ht="20" customHeight="1" x14ac:dyDescent="0.2">
      <c r="A215" s="198"/>
      <c r="B215" s="130"/>
      <c r="C215" s="130"/>
      <c r="D215" s="130"/>
      <c r="E215" s="130"/>
      <c r="F215" s="130"/>
      <c r="G215" s="130"/>
      <c r="H215" s="130"/>
      <c r="I215" s="130"/>
      <c r="J215" s="130"/>
      <c r="K215" s="130"/>
      <c r="L215" s="130"/>
      <c r="M215" s="130"/>
      <c r="N215" s="130"/>
      <c r="O215" s="130"/>
      <c r="P215" s="139">
        <v>0.18795644578102544</v>
      </c>
      <c r="Q215" s="139">
        <v>0.32884494137649622</v>
      </c>
      <c r="R215" s="139">
        <v>0.46682726817114217</v>
      </c>
      <c r="S215" s="130"/>
      <c r="T215" s="130"/>
      <c r="V215" s="130"/>
      <c r="W215" s="130"/>
      <c r="X215" s="130"/>
      <c r="Y215" s="130"/>
      <c r="Z215" s="130"/>
      <c r="AA215" s="130"/>
      <c r="AB215" s="130"/>
      <c r="AC215" s="130"/>
      <c r="AD215" s="130"/>
      <c r="AE215" s="130"/>
      <c r="AF215" s="130"/>
      <c r="AG215" s="130"/>
      <c r="AH215" s="130"/>
      <c r="AI215" s="139">
        <v>-0.92189027989635597</v>
      </c>
      <c r="AJ215" s="139">
        <v>6.6005572499071852E-2</v>
      </c>
      <c r="AK215" s="139">
        <v>5.824492170877843E-2</v>
      </c>
      <c r="AL215" s="130"/>
      <c r="AM215" s="130"/>
      <c r="AN215" s="130"/>
      <c r="AO215" s="130"/>
      <c r="AP215" s="130"/>
      <c r="AQ215" s="130"/>
      <c r="AR215" s="130"/>
      <c r="AS215" s="130"/>
      <c r="AT215" s="130"/>
      <c r="AU215" s="130"/>
      <c r="AV215" s="130"/>
      <c r="AW215" s="130"/>
      <c r="AX215" s="130"/>
    </row>
    <row r="216" spans="1:50" ht="20" customHeight="1" x14ac:dyDescent="0.2">
      <c r="A216" s="198"/>
      <c r="B216" s="130"/>
      <c r="C216" s="130"/>
      <c r="D216" s="130"/>
      <c r="E216" s="130"/>
      <c r="F216" s="130"/>
      <c r="G216" s="130"/>
      <c r="H216" s="130"/>
      <c r="I216" s="130"/>
      <c r="J216" s="130"/>
      <c r="K216" s="130"/>
      <c r="L216" s="130"/>
      <c r="M216" s="130"/>
      <c r="N216" s="130"/>
      <c r="O216" s="130"/>
      <c r="P216" s="139">
        <v>0.45025133934548567</v>
      </c>
      <c r="Q216" s="139">
        <v>0.72594000341698639</v>
      </c>
      <c r="R216" s="139">
        <v>0.83072790678051445</v>
      </c>
      <c r="S216" s="130"/>
      <c r="T216" s="130"/>
      <c r="V216" s="130"/>
      <c r="W216" s="130"/>
      <c r="X216" s="130"/>
      <c r="Y216" s="130"/>
      <c r="Z216" s="130"/>
      <c r="AA216" s="130"/>
      <c r="AB216" s="130"/>
      <c r="AC216" s="130"/>
      <c r="AD216" s="130"/>
      <c r="AE216" s="130"/>
      <c r="AF216" s="130"/>
      <c r="AG216" s="130"/>
      <c r="AH216" s="130"/>
      <c r="AI216" s="139">
        <v>7.4580703242117977E-2</v>
      </c>
      <c r="AJ216" s="139">
        <v>6.8241713113357555E-2</v>
      </c>
      <c r="AK216" s="139">
        <v>6.3162388491921961E-2</v>
      </c>
      <c r="AL216" s="130"/>
      <c r="AM216" s="130"/>
      <c r="AN216" s="130"/>
      <c r="AO216" s="130"/>
      <c r="AP216" s="130"/>
      <c r="AQ216" s="130"/>
      <c r="AR216" s="130"/>
      <c r="AS216" s="130"/>
      <c r="AT216" s="130"/>
      <c r="AU216" s="130"/>
      <c r="AV216" s="130"/>
      <c r="AW216" s="130"/>
      <c r="AX216" s="130"/>
    </row>
    <row r="217" spans="1:50" ht="20" customHeight="1" x14ac:dyDescent="0.2">
      <c r="A217" s="198"/>
      <c r="B217" s="130"/>
      <c r="C217" s="130"/>
      <c r="D217" s="130"/>
      <c r="E217" s="130"/>
      <c r="F217" s="130"/>
      <c r="G217" s="130"/>
      <c r="H217" s="130"/>
      <c r="I217" s="130"/>
      <c r="J217" s="130"/>
      <c r="K217" s="130"/>
      <c r="L217" s="130"/>
      <c r="M217" s="130"/>
      <c r="N217" s="130"/>
      <c r="O217" s="130"/>
      <c r="P217" s="139">
        <v>0.95387460797430967</v>
      </c>
      <c r="Q217" s="139">
        <v>0.49700056799079129</v>
      </c>
      <c r="R217" s="139">
        <v>0.41659329311277005</v>
      </c>
      <c r="S217" s="130"/>
      <c r="T217" s="130"/>
      <c r="V217" s="130"/>
      <c r="W217" s="130"/>
      <c r="X217" s="130"/>
      <c r="Y217" s="130"/>
      <c r="Z217" s="130"/>
      <c r="AA217" s="130"/>
      <c r="AB217" s="130"/>
      <c r="AC217" s="130"/>
      <c r="AD217" s="130"/>
      <c r="AE217" s="130"/>
      <c r="AF217" s="130"/>
      <c r="AG217" s="130"/>
      <c r="AH217" s="130"/>
      <c r="AI217" s="139">
        <v>8.5992825432593331E-2</v>
      </c>
      <c r="AJ217" s="139">
        <v>6.5464159619288947E-2</v>
      </c>
      <c r="AK217" s="139">
        <v>5.8281905730460389E-2</v>
      </c>
      <c r="AL217" s="130"/>
      <c r="AM217" s="130"/>
      <c r="AN217" s="130"/>
      <c r="AO217" s="130"/>
      <c r="AP217" s="130"/>
      <c r="AQ217" s="130"/>
      <c r="AR217" s="130"/>
      <c r="AS217" s="130"/>
      <c r="AT217" s="130"/>
      <c r="AU217" s="130"/>
      <c r="AV217" s="130"/>
      <c r="AW217" s="130"/>
      <c r="AX217" s="130"/>
    </row>
    <row r="218" spans="1:50" ht="20" customHeight="1" x14ac:dyDescent="0.2">
      <c r="A218" s="198"/>
      <c r="B218" s="130"/>
      <c r="C218" s="130"/>
      <c r="D218" s="130"/>
      <c r="E218" s="130"/>
      <c r="F218" s="130"/>
      <c r="G218" s="130"/>
      <c r="H218" s="130"/>
      <c r="I218" s="130"/>
      <c r="J218" s="130"/>
      <c r="K218" s="130"/>
      <c r="L218" s="130"/>
      <c r="M218" s="130"/>
      <c r="N218" s="130"/>
      <c r="O218" s="130"/>
      <c r="P218" s="139">
        <v>1.3490122693412259</v>
      </c>
      <c r="Q218" s="139">
        <v>1.4035265645164163</v>
      </c>
      <c r="R218" s="139">
        <v>1.4637835716200065</v>
      </c>
      <c r="S218" s="130"/>
      <c r="T218" s="130"/>
      <c r="V218" s="130"/>
      <c r="W218" s="130"/>
      <c r="X218" s="130"/>
      <c r="Y218" s="130"/>
      <c r="Z218" s="130"/>
      <c r="AA218" s="130"/>
      <c r="AB218" s="130"/>
      <c r="AC218" s="130"/>
      <c r="AD218" s="130"/>
      <c r="AE218" s="130"/>
      <c r="AF218" s="130"/>
      <c r="AG218" s="130"/>
      <c r="AH218" s="130"/>
      <c r="AI218" s="139">
        <v>0.11993991743174374</v>
      </c>
      <c r="AJ218" s="139">
        <v>-0.88762325227546168</v>
      </c>
      <c r="AK218" s="139">
        <v>-0.89145028672073057</v>
      </c>
      <c r="AL218" s="130"/>
      <c r="AM218" s="130"/>
      <c r="AN218" s="130"/>
      <c r="AO218" s="130"/>
      <c r="AP218" s="130"/>
      <c r="AQ218" s="130"/>
      <c r="AR218" s="130"/>
      <c r="AS218" s="130"/>
      <c r="AT218" s="130"/>
      <c r="AU218" s="130"/>
      <c r="AV218" s="130"/>
      <c r="AW218" s="130"/>
      <c r="AX218" s="130"/>
    </row>
    <row r="219" spans="1:50" ht="20" customHeight="1" x14ac:dyDescent="0.2">
      <c r="A219" s="198"/>
      <c r="B219" s="130"/>
      <c r="C219" s="130"/>
      <c r="D219" s="130"/>
      <c r="E219" s="130"/>
      <c r="F219" s="130"/>
      <c r="G219" s="130"/>
      <c r="H219" s="130"/>
      <c r="I219" s="130"/>
      <c r="J219" s="130"/>
      <c r="K219" s="130"/>
      <c r="L219" s="130"/>
      <c r="M219" s="130"/>
      <c r="N219" s="130"/>
      <c r="O219" s="130"/>
      <c r="P219" s="140">
        <v>1.4303621864001326</v>
      </c>
      <c r="Q219" s="140">
        <v>1.7763168688630835</v>
      </c>
      <c r="R219" s="140">
        <v>1.8724440835780214</v>
      </c>
      <c r="S219" s="130"/>
      <c r="T219" s="130"/>
      <c r="V219" s="130"/>
      <c r="W219" s="130"/>
      <c r="X219" s="130"/>
      <c r="Y219" s="130"/>
      <c r="Z219" s="130"/>
      <c r="AA219" s="130"/>
      <c r="AB219" s="130"/>
      <c r="AC219" s="130"/>
      <c r="AD219" s="130"/>
      <c r="AE219" s="130"/>
      <c r="AF219" s="130"/>
      <c r="AG219" s="130"/>
      <c r="AH219" s="130"/>
      <c r="AI219" s="140">
        <v>0.13275323579155018</v>
      </c>
      <c r="AJ219" s="140">
        <v>0.22837590482283729</v>
      </c>
      <c r="AK219" s="140">
        <v>0.2874721730127347</v>
      </c>
      <c r="AL219" s="130"/>
      <c r="AM219" s="130"/>
      <c r="AN219" s="130"/>
      <c r="AO219" s="130"/>
      <c r="AP219" s="130"/>
      <c r="AQ219" s="130"/>
      <c r="AR219" s="130"/>
      <c r="AS219" s="130"/>
      <c r="AT219" s="130"/>
      <c r="AU219" s="130"/>
      <c r="AV219" s="130"/>
      <c r="AW219" s="130"/>
      <c r="AX219" s="130"/>
    </row>
    <row r="220" spans="1:50" ht="20" customHeight="1" x14ac:dyDescent="0.2">
      <c r="A220" s="198"/>
      <c r="B220" s="130"/>
      <c r="C220" s="130"/>
      <c r="D220" s="130"/>
      <c r="E220" s="130"/>
      <c r="F220" s="130"/>
      <c r="G220" s="130"/>
      <c r="H220" s="130"/>
      <c r="I220" s="130"/>
      <c r="J220" s="130"/>
      <c r="K220" s="130"/>
      <c r="L220" s="130"/>
      <c r="M220" s="130"/>
      <c r="N220" s="130"/>
      <c r="O220" s="130"/>
      <c r="P220" s="133" t="s">
        <v>276</v>
      </c>
      <c r="Q220" s="130"/>
      <c r="R220" s="130"/>
      <c r="S220" s="130"/>
      <c r="T220" s="130"/>
      <c r="V220" s="130"/>
      <c r="W220" s="130"/>
      <c r="X220" s="130"/>
      <c r="Y220" s="130"/>
      <c r="Z220" s="130"/>
      <c r="AA220" s="130"/>
      <c r="AB220" s="130"/>
      <c r="AC220" s="130"/>
      <c r="AD220" s="130"/>
      <c r="AE220" s="130"/>
      <c r="AF220" s="130"/>
      <c r="AG220" s="130"/>
      <c r="AH220" s="130"/>
      <c r="AI220" s="130"/>
      <c r="AJ220" s="130"/>
      <c r="AK220" s="130"/>
      <c r="AL220" s="130"/>
      <c r="AM220" s="130"/>
      <c r="AN220" s="130"/>
      <c r="AO220" s="130"/>
      <c r="AP220" s="130"/>
      <c r="AQ220" s="130"/>
      <c r="AR220" s="130"/>
      <c r="AS220" s="130"/>
      <c r="AT220" s="130"/>
      <c r="AU220" s="130"/>
      <c r="AV220" s="130"/>
      <c r="AW220" s="130"/>
      <c r="AX220" s="130"/>
    </row>
    <row r="221" spans="1:50" ht="20" customHeight="1" x14ac:dyDescent="0.2">
      <c r="A221" s="198"/>
      <c r="B221" s="130"/>
      <c r="C221" s="130"/>
      <c r="D221" s="130"/>
      <c r="E221" s="130"/>
      <c r="F221" s="130"/>
      <c r="G221" s="130"/>
      <c r="H221" s="130"/>
      <c r="I221" s="130"/>
      <c r="J221" s="130"/>
      <c r="K221" s="130"/>
      <c r="L221" s="130"/>
      <c r="M221" s="130"/>
      <c r="N221" s="130"/>
      <c r="O221" s="130"/>
      <c r="P221" s="138" cm="1">
        <f t="array" ref="P221:R230">0.5*Blueprint!P196:R205*Blueprint!P210:R219</f>
        <v>-0.15188271443936974</v>
      </c>
      <c r="Q221" s="138">
        <v>-0.16927609028003895</v>
      </c>
      <c r="R221" s="138">
        <v>-0.14513785604267151</v>
      </c>
      <c r="S221" s="130"/>
      <c r="T221" s="130"/>
      <c r="V221" s="130"/>
      <c r="W221" s="130"/>
      <c r="X221" s="130"/>
      <c r="Y221" s="130"/>
      <c r="Z221" s="130"/>
      <c r="AA221" s="130"/>
      <c r="AB221" s="130"/>
      <c r="AC221" s="130"/>
      <c r="AD221" s="130"/>
      <c r="AE221" s="130"/>
      <c r="AF221" s="130"/>
      <c r="AG221" s="130"/>
      <c r="AH221" s="130"/>
      <c r="AI221" s="130"/>
      <c r="AJ221" s="130"/>
      <c r="AK221" s="130"/>
      <c r="AL221" s="130"/>
      <c r="AM221" s="130"/>
      <c r="AN221" s="130"/>
      <c r="AO221" s="130"/>
      <c r="AP221" s="130"/>
      <c r="AQ221" s="130"/>
      <c r="AR221" s="130"/>
      <c r="AS221" s="130"/>
      <c r="AT221" s="130"/>
      <c r="AU221" s="130"/>
      <c r="AV221" s="130"/>
      <c r="AW221" s="130"/>
      <c r="AX221" s="130"/>
    </row>
    <row r="222" spans="1:50" ht="20" customHeight="1" x14ac:dyDescent="0.2">
      <c r="A222" s="198"/>
      <c r="B222" s="130"/>
      <c r="C222" s="130"/>
      <c r="D222" s="130"/>
      <c r="E222" s="130"/>
      <c r="F222" s="130"/>
      <c r="G222" s="130"/>
      <c r="H222" s="130"/>
      <c r="I222" s="130"/>
      <c r="J222" s="130"/>
      <c r="K222" s="130"/>
      <c r="L222" s="130"/>
      <c r="M222" s="130"/>
      <c r="N222" s="130"/>
      <c r="O222" s="130"/>
      <c r="P222" s="139">
        <v>0.61315363464457873</v>
      </c>
      <c r="Q222" s="139">
        <v>0.75372390986062587</v>
      </c>
      <c r="R222" s="139">
        <v>0.80402694317594325</v>
      </c>
      <c r="S222" s="130"/>
      <c r="T222" s="130"/>
      <c r="V222" s="130"/>
      <c r="W222" s="130"/>
      <c r="X222" s="130"/>
      <c r="Y222" s="130"/>
      <c r="Z222" s="130"/>
      <c r="AA222" s="130"/>
      <c r="AB222" s="130"/>
      <c r="AC222" s="130"/>
      <c r="AD222" s="130"/>
      <c r="AE222" s="130"/>
      <c r="AF222" s="130"/>
      <c r="AG222" s="130"/>
      <c r="AH222" s="130"/>
      <c r="AI222" s="130"/>
      <c r="AJ222" s="130"/>
      <c r="AK222" s="130"/>
      <c r="AL222" s="130"/>
      <c r="AM222" s="130"/>
      <c r="AN222" s="130"/>
      <c r="AO222" s="130"/>
      <c r="AP222" s="130"/>
      <c r="AQ222" s="130"/>
      <c r="AR222" s="130"/>
      <c r="AS222" s="130"/>
      <c r="AT222" s="130"/>
      <c r="AU222" s="130"/>
      <c r="AV222" s="130"/>
      <c r="AW222" s="130"/>
      <c r="AX222" s="130"/>
    </row>
    <row r="223" spans="1:50" ht="20" customHeight="1" x14ac:dyDescent="0.2">
      <c r="A223" s="198"/>
      <c r="B223" s="130"/>
      <c r="C223" s="130"/>
      <c r="D223" s="130"/>
      <c r="E223" s="130"/>
      <c r="F223" s="130"/>
      <c r="G223" s="130"/>
      <c r="H223" s="130"/>
      <c r="I223" s="130"/>
      <c r="J223" s="130"/>
      <c r="K223" s="130"/>
      <c r="L223" s="130"/>
      <c r="M223" s="130"/>
      <c r="N223" s="130"/>
      <c r="O223" s="130"/>
      <c r="P223" s="139">
        <v>-0.16928093202965444</v>
      </c>
      <c r="Q223" s="139">
        <v>1.6412294579117984E-2</v>
      </c>
      <c r="R223" s="139">
        <v>0.16192172579615755</v>
      </c>
      <c r="S223" s="130"/>
      <c r="T223" s="130"/>
      <c r="V223" s="130"/>
      <c r="W223" s="130"/>
      <c r="X223" s="130"/>
      <c r="Y223" s="130"/>
      <c r="Z223" s="130"/>
      <c r="AA223" s="130"/>
      <c r="AB223" s="130"/>
      <c r="AC223" s="130"/>
      <c r="AD223" s="130"/>
      <c r="AE223" s="130"/>
      <c r="AF223" s="130"/>
      <c r="AG223" s="130"/>
      <c r="AH223" s="130"/>
      <c r="AI223" s="130"/>
      <c r="AJ223" s="130"/>
      <c r="AK223" s="130"/>
      <c r="AL223" s="130"/>
      <c r="AM223" s="130"/>
      <c r="AN223" s="130"/>
      <c r="AO223" s="130"/>
      <c r="AP223" s="130"/>
      <c r="AQ223" s="130"/>
      <c r="AR223" s="130"/>
      <c r="AS223" s="130"/>
      <c r="AT223" s="130"/>
      <c r="AU223" s="130"/>
      <c r="AV223" s="130"/>
      <c r="AW223" s="130"/>
      <c r="AX223" s="130"/>
    </row>
    <row r="224" spans="1:50" ht="20" customHeight="1" x14ac:dyDescent="0.2">
      <c r="A224" s="198"/>
      <c r="B224" s="130"/>
      <c r="C224" s="130"/>
      <c r="D224" s="130"/>
      <c r="E224" s="130"/>
      <c r="F224" s="130"/>
      <c r="G224" s="130"/>
      <c r="H224" s="130"/>
      <c r="I224" s="130"/>
      <c r="J224" s="130"/>
      <c r="K224" s="130"/>
      <c r="L224" s="130"/>
      <c r="M224" s="130"/>
      <c r="N224" s="130"/>
      <c r="O224" s="130"/>
      <c r="P224" s="139">
        <v>0.29206231906680763</v>
      </c>
      <c r="Q224" s="139">
        <v>4.0608206907303358E-2</v>
      </c>
      <c r="R224" s="139">
        <v>-6.783469264414943E-2</v>
      </c>
      <c r="S224" s="130"/>
      <c r="T224" s="130"/>
      <c r="V224" s="130"/>
      <c r="W224" s="130"/>
      <c r="X224" s="130"/>
      <c r="Y224" s="130"/>
      <c r="Z224" s="130"/>
      <c r="AA224" s="130"/>
      <c r="AB224" s="130"/>
      <c r="AC224" s="130"/>
      <c r="AD224" s="130"/>
      <c r="AE224" s="130"/>
      <c r="AF224" s="130"/>
      <c r="AG224" s="130"/>
      <c r="AH224" s="130"/>
      <c r="AI224" s="130"/>
      <c r="AJ224" s="130"/>
      <c r="AK224" s="130"/>
      <c r="AL224" s="130"/>
      <c r="AM224" s="130"/>
      <c r="AN224" s="130"/>
      <c r="AO224" s="130"/>
      <c r="AP224" s="130"/>
      <c r="AQ224" s="130"/>
      <c r="AR224" s="130"/>
      <c r="AS224" s="130"/>
      <c r="AT224" s="130"/>
      <c r="AU224" s="130"/>
      <c r="AV224" s="130"/>
      <c r="AW224" s="130"/>
      <c r="AX224" s="130"/>
    </row>
    <row r="225" spans="1:50" ht="20" customHeight="1" x14ac:dyDescent="0.2">
      <c r="A225" s="198"/>
      <c r="B225" s="130"/>
      <c r="C225" s="130"/>
      <c r="D225" s="130"/>
      <c r="E225" s="130"/>
      <c r="F225" s="130"/>
      <c r="G225" s="130"/>
      <c r="H225" s="130"/>
      <c r="I225" s="130"/>
      <c r="J225" s="130"/>
      <c r="K225" s="130"/>
      <c r="L225" s="130"/>
      <c r="M225" s="130"/>
      <c r="N225" s="130"/>
      <c r="O225" s="130"/>
      <c r="P225" s="139">
        <v>-0.14503662489438762</v>
      </c>
      <c r="Q225" s="139">
        <v>-0.10284365902651331</v>
      </c>
      <c r="R225" s="139">
        <v>-6.4981819435403126E-2</v>
      </c>
      <c r="S225" s="130"/>
      <c r="T225" s="130"/>
      <c r="V225" s="130"/>
      <c r="W225" s="130"/>
      <c r="X225" s="130"/>
      <c r="Y225" s="130"/>
      <c r="Z225" s="130"/>
      <c r="AA225" s="130"/>
      <c r="AB225" s="130"/>
      <c r="AC225" s="130"/>
      <c r="AD225" s="130"/>
      <c r="AE225" s="130"/>
      <c r="AF225" s="130"/>
      <c r="AG225" s="130"/>
      <c r="AH225" s="130"/>
      <c r="AI225" s="130"/>
      <c r="AJ225" s="130"/>
      <c r="AK225" s="130"/>
      <c r="AL225" s="130"/>
      <c r="AM225" s="130"/>
      <c r="AN225" s="130"/>
      <c r="AO225" s="130"/>
      <c r="AP225" s="130"/>
      <c r="AQ225" s="130"/>
      <c r="AR225" s="130"/>
      <c r="AS225" s="130"/>
      <c r="AT225" s="130"/>
      <c r="AU225" s="130"/>
      <c r="AV225" s="130"/>
      <c r="AW225" s="130"/>
      <c r="AX225" s="130"/>
    </row>
    <row r="226" spans="1:50" ht="20" customHeight="1" x14ac:dyDescent="0.2">
      <c r="A226" s="198"/>
      <c r="B226" s="130"/>
      <c r="C226" s="130"/>
      <c r="D226" s="130"/>
      <c r="E226" s="130"/>
      <c r="F226" s="130"/>
      <c r="G226" s="130"/>
      <c r="H226" s="130"/>
      <c r="I226" s="130"/>
      <c r="J226" s="130"/>
      <c r="K226" s="130"/>
      <c r="L226" s="130"/>
      <c r="M226" s="130"/>
      <c r="N226" s="130"/>
      <c r="O226" s="130"/>
      <c r="P226" s="139">
        <v>-0.12373629402549344</v>
      </c>
      <c r="Q226" s="139">
        <v>-0.16054918385128913</v>
      </c>
      <c r="R226" s="139">
        <v>-0.16984365832838819</v>
      </c>
      <c r="S226" s="130"/>
      <c r="T226" s="130"/>
      <c r="V226" s="130"/>
      <c r="W226" s="130"/>
      <c r="X226" s="130"/>
      <c r="Y226" s="130"/>
      <c r="Z226" s="130"/>
      <c r="AA226" s="130"/>
      <c r="AB226" s="130"/>
      <c r="AC226" s="130"/>
      <c r="AD226" s="130"/>
      <c r="AE226" s="130"/>
      <c r="AF226" s="130"/>
      <c r="AG226" s="130"/>
      <c r="AH226" s="130"/>
      <c r="AI226" s="130"/>
      <c r="AJ226" s="130"/>
      <c r="AK226" s="130"/>
      <c r="AL226" s="130"/>
      <c r="AM226" s="130"/>
      <c r="AN226" s="130"/>
      <c r="AO226" s="130"/>
      <c r="AP226" s="130"/>
      <c r="AQ226" s="130"/>
      <c r="AR226" s="130"/>
      <c r="AS226" s="130"/>
      <c r="AT226" s="130"/>
      <c r="AU226" s="130"/>
      <c r="AV226" s="130"/>
      <c r="AW226" s="130"/>
      <c r="AX226" s="130"/>
    </row>
    <row r="227" spans="1:50" ht="20" customHeight="1" x14ac:dyDescent="0.2">
      <c r="A227" s="198"/>
      <c r="B227" s="130"/>
      <c r="C227" s="130"/>
      <c r="D227" s="130"/>
      <c r="E227" s="130"/>
      <c r="F227" s="130"/>
      <c r="G227" s="130"/>
      <c r="H227" s="130"/>
      <c r="I227" s="130"/>
      <c r="J227" s="130"/>
      <c r="K227" s="130"/>
      <c r="L227" s="130"/>
      <c r="M227" s="130"/>
      <c r="N227" s="130"/>
      <c r="O227" s="130"/>
      <c r="P227" s="139">
        <v>-0.16996899620767636</v>
      </c>
      <c r="Q227" s="139">
        <v>-0.12723234700905958</v>
      </c>
      <c r="R227" s="139">
        <v>-8.8791560807911687E-2</v>
      </c>
      <c r="S227" s="130"/>
      <c r="T227" s="130"/>
      <c r="V227" s="130"/>
      <c r="W227" s="130"/>
      <c r="X227" s="130"/>
      <c r="Y227" s="130"/>
      <c r="Z227" s="130"/>
      <c r="AA227" s="130"/>
      <c r="AB227" s="130"/>
      <c r="AC227" s="130"/>
      <c r="AD227" s="130"/>
      <c r="AE227" s="130"/>
      <c r="AF227" s="130"/>
      <c r="AG227" s="130"/>
      <c r="AH227" s="130"/>
      <c r="AI227" s="130"/>
      <c r="AJ227" s="130"/>
      <c r="AK227" s="130"/>
      <c r="AL227" s="130"/>
      <c r="AM227" s="130"/>
      <c r="AN227" s="130"/>
      <c r="AO227" s="130"/>
      <c r="AP227" s="130"/>
      <c r="AQ227" s="130"/>
      <c r="AR227" s="130"/>
      <c r="AS227" s="130"/>
      <c r="AT227" s="130"/>
      <c r="AU227" s="130"/>
      <c r="AV227" s="130"/>
      <c r="AW227" s="130"/>
      <c r="AX227" s="130"/>
    </row>
    <row r="228" spans="1:50" ht="20" customHeight="1" x14ac:dyDescent="0.2">
      <c r="A228" s="198"/>
      <c r="B228" s="130"/>
      <c r="C228" s="130"/>
      <c r="D228" s="130"/>
      <c r="E228" s="130"/>
      <c r="F228" s="130"/>
      <c r="G228" s="130"/>
      <c r="H228" s="130"/>
      <c r="I228" s="130"/>
      <c r="J228" s="130"/>
      <c r="K228" s="130"/>
      <c r="L228" s="130"/>
      <c r="M228" s="130"/>
      <c r="N228" s="130"/>
      <c r="O228" s="130"/>
      <c r="P228" s="139">
        <v>-2.7586932708888838E-2</v>
      </c>
      <c r="Q228" s="139">
        <v>-0.1687855426197313</v>
      </c>
      <c r="R228" s="139">
        <v>-0.16920888565437711</v>
      </c>
      <c r="S228" s="130"/>
      <c r="T228" s="130"/>
      <c r="V228" s="130"/>
      <c r="W228" s="130"/>
      <c r="X228" s="130"/>
      <c r="Y228" s="130"/>
      <c r="Z228" s="130"/>
      <c r="AA228" s="130"/>
      <c r="AB228" s="130"/>
      <c r="AC228" s="130"/>
      <c r="AD228" s="130"/>
      <c r="AE228" s="130"/>
      <c r="AF228" s="130"/>
      <c r="AG228" s="130"/>
      <c r="AH228" s="130"/>
      <c r="AI228" s="130"/>
      <c r="AJ228" s="130"/>
      <c r="AK228" s="130"/>
      <c r="AL228" s="130"/>
      <c r="AM228" s="130"/>
      <c r="AN228" s="130"/>
      <c r="AO228" s="130"/>
      <c r="AP228" s="130"/>
      <c r="AQ228" s="130"/>
      <c r="AR228" s="130"/>
      <c r="AS228" s="130"/>
      <c r="AT228" s="130"/>
      <c r="AU228" s="130"/>
      <c r="AV228" s="130"/>
      <c r="AW228" s="130"/>
      <c r="AX228" s="130"/>
    </row>
    <row r="229" spans="1:50" ht="20" customHeight="1" x14ac:dyDescent="0.2">
      <c r="A229" s="198"/>
      <c r="B229" s="130"/>
      <c r="C229" s="130"/>
      <c r="D229" s="130"/>
      <c r="E229" s="130"/>
      <c r="F229" s="130"/>
      <c r="G229" s="130"/>
      <c r="H229" s="130"/>
      <c r="I229" s="130"/>
      <c r="J229" s="130"/>
      <c r="K229" s="130"/>
      <c r="L229" s="130"/>
      <c r="M229" s="130"/>
      <c r="N229" s="130"/>
      <c r="O229" s="130"/>
      <c r="P229" s="139">
        <v>0.30514012904720045</v>
      </c>
      <c r="Q229" s="139">
        <v>0.37156869116308028</v>
      </c>
      <c r="R229" s="139">
        <v>0.45270768894211594</v>
      </c>
      <c r="S229" s="130"/>
      <c r="T229" s="130"/>
      <c r="V229" s="130"/>
      <c r="W229" s="130"/>
      <c r="X229" s="130"/>
      <c r="Y229" s="130"/>
      <c r="Z229" s="130"/>
      <c r="AA229" s="130"/>
      <c r="AB229" s="130"/>
      <c r="AC229" s="130"/>
      <c r="AD229" s="130"/>
      <c r="AE229" s="130"/>
      <c r="AF229" s="130"/>
      <c r="AG229" s="130"/>
      <c r="AH229" s="130"/>
      <c r="AI229" s="130"/>
      <c r="AJ229" s="130"/>
      <c r="AK229" s="130"/>
      <c r="AL229" s="130"/>
      <c r="AM229" s="130"/>
      <c r="AN229" s="130"/>
      <c r="AO229" s="130"/>
      <c r="AP229" s="130"/>
      <c r="AQ229" s="130"/>
      <c r="AR229" s="130"/>
      <c r="AS229" s="130"/>
      <c r="AT229" s="130"/>
      <c r="AU229" s="130"/>
      <c r="AV229" s="130"/>
      <c r="AW229" s="130"/>
      <c r="AX229" s="130"/>
    </row>
    <row r="230" spans="1:50" ht="20" customHeight="1" x14ac:dyDescent="0.2">
      <c r="A230" s="198"/>
      <c r="B230" s="130"/>
      <c r="C230" s="130"/>
      <c r="D230" s="130"/>
      <c r="E230" s="130"/>
      <c r="F230" s="130"/>
      <c r="G230" s="130"/>
      <c r="H230" s="130"/>
      <c r="I230" s="130"/>
      <c r="J230" s="130"/>
      <c r="K230" s="130"/>
      <c r="L230" s="130"/>
      <c r="M230" s="130"/>
      <c r="N230" s="130"/>
      <c r="O230" s="130"/>
      <c r="P230" s="140">
        <v>0.40664123462265395</v>
      </c>
      <c r="Q230" s="140">
        <v>1.0807046225774135</v>
      </c>
      <c r="R230" s="140">
        <v>1.4266255000235348</v>
      </c>
      <c r="S230" s="130"/>
      <c r="T230" s="141" t="str">
        <f>HYPERLINK("#Blueprint!torchcode", "&lt;/&gt;")</f>
        <v>&lt;/&gt;</v>
      </c>
      <c r="V230" s="141" t="str">
        <f>HYPERLINK("#Blueprint!torchcode", "&lt;/&gt;")</f>
        <v>&lt;/&gt;</v>
      </c>
      <c r="W230" s="130"/>
      <c r="X230" s="130"/>
      <c r="Y230" s="130"/>
      <c r="Z230" s="130"/>
      <c r="AA230" s="130"/>
      <c r="AB230" s="130"/>
      <c r="AC230" s="130"/>
      <c r="AD230" s="130"/>
      <c r="AE230" s="130"/>
      <c r="AF230" s="130"/>
      <c r="AG230" s="130"/>
      <c r="AH230" s="130"/>
      <c r="AI230" s="130"/>
      <c r="AJ230" s="130"/>
      <c r="AK230" s="130"/>
      <c r="AL230" s="130"/>
      <c r="AM230" s="130"/>
      <c r="AN230" s="130"/>
      <c r="AO230" s="130"/>
      <c r="AP230" s="130"/>
      <c r="AQ230" s="130"/>
      <c r="AR230" s="130"/>
      <c r="AS230" s="130"/>
      <c r="AT230" s="130"/>
      <c r="AU230" s="130"/>
      <c r="AV230" s="130"/>
      <c r="AW230" s="130"/>
      <c r="AX230" s="130"/>
    </row>
    <row r="231" spans="1:50" ht="20" customHeight="1" x14ac:dyDescent="0.2">
      <c r="A231" s="198"/>
      <c r="B231" s="130"/>
      <c r="C231" s="130"/>
      <c r="D231" s="130"/>
      <c r="E231" s="130"/>
      <c r="F231" s="130"/>
      <c r="G231" s="130"/>
      <c r="H231" s="130"/>
      <c r="I231" s="130"/>
      <c r="J231" s="130"/>
      <c r="K231" s="130"/>
      <c r="L231" s="130"/>
      <c r="M231" s="130"/>
      <c r="N231" s="130"/>
      <c r="O231" s="130"/>
      <c r="P231" s="130"/>
      <c r="Q231" s="130"/>
      <c r="R231" s="130"/>
      <c r="S231" s="130"/>
      <c r="T231" s="142" t="str">
        <f>HYPERLINK("#X", "▲")</f>
        <v>▲</v>
      </c>
      <c r="V231" s="142" t="str">
        <f>HYPERLINK("#X", "▲")</f>
        <v>▲</v>
      </c>
      <c r="W231" s="130"/>
      <c r="X231" s="130"/>
      <c r="Y231" s="130"/>
      <c r="Z231" s="130"/>
      <c r="AA231" s="130"/>
      <c r="AB231" s="130"/>
      <c r="AC231" s="130"/>
      <c r="AD231" s="130"/>
      <c r="AE231" s="130"/>
      <c r="AF231" s="130"/>
      <c r="AG231" s="130"/>
      <c r="AH231" s="130"/>
      <c r="AI231" s="130"/>
      <c r="AJ231" s="130"/>
      <c r="AK231" s="130"/>
      <c r="AL231" s="130"/>
      <c r="AM231" s="130"/>
      <c r="AN231" s="130"/>
      <c r="AO231" s="130"/>
      <c r="AP231" s="130"/>
      <c r="AQ231" s="130"/>
      <c r="AR231" s="130"/>
      <c r="AS231" s="130"/>
      <c r="AT231" s="130"/>
      <c r="AU231" s="130"/>
      <c r="AV231" s="130"/>
      <c r="AW231" s="130"/>
      <c r="AX231" s="130"/>
    </row>
    <row r="232" spans="1:50" ht="20" customHeight="1" x14ac:dyDescent="0.2">
      <c r="P232" s="143" t="s">
        <v>117</v>
      </c>
      <c r="Q232" s="143" t="s">
        <v>117</v>
      </c>
      <c r="R232" s="143" t="s">
        <v>117</v>
      </c>
      <c r="AI232" s="160" t="s">
        <v>128</v>
      </c>
      <c r="AJ232" s="160" t="s">
        <v>128</v>
      </c>
      <c r="AK232" s="160" t="s">
        <v>128</v>
      </c>
    </row>
    <row r="233" spans="1:50" ht="20" customHeight="1" x14ac:dyDescent="0.2">
      <c r="A233" s="199" t="s">
        <v>198</v>
      </c>
      <c r="B233" s="123"/>
      <c r="C233" s="123"/>
      <c r="D233" s="123"/>
      <c r="E233" s="123"/>
      <c r="F233" s="123"/>
      <c r="G233" s="123"/>
      <c r="H233" s="123"/>
      <c r="I233" s="123"/>
      <c r="J233" s="123"/>
      <c r="K233" s="123"/>
      <c r="L233" s="123"/>
      <c r="M233" s="123"/>
      <c r="N233" s="123"/>
      <c r="O233" s="123"/>
      <c r="P233" s="144" t="s">
        <v>195</v>
      </c>
      <c r="Q233" s="123"/>
      <c r="R233" s="123"/>
      <c r="S233" s="123"/>
      <c r="T233" s="123"/>
      <c r="V233" s="123"/>
      <c r="W233" s="123"/>
      <c r="X233" s="123"/>
      <c r="Y233" s="123"/>
      <c r="Z233" s="123"/>
      <c r="AA233" s="123"/>
      <c r="AB233" s="123"/>
      <c r="AC233" s="123"/>
      <c r="AD233" s="123"/>
      <c r="AE233" s="123"/>
      <c r="AF233" s="123"/>
      <c r="AG233" s="123"/>
      <c r="AH233" s="123"/>
      <c r="AI233" s="144" t="s">
        <v>204</v>
      </c>
      <c r="AJ233" s="123"/>
      <c r="AK233" s="123"/>
      <c r="AL233" s="123"/>
      <c r="AM233" s="123"/>
      <c r="AN233" s="123"/>
      <c r="AO233" s="123"/>
      <c r="AP233" s="123"/>
      <c r="AQ233" s="123"/>
      <c r="AR233" s="123"/>
      <c r="AS233" s="123"/>
      <c r="AT233" s="123"/>
      <c r="AU233" s="123"/>
      <c r="AV233" s="123"/>
      <c r="AW233" s="123"/>
      <c r="AX233" s="123"/>
    </row>
    <row r="234" spans="1:50" ht="20" customHeight="1" x14ac:dyDescent="0.2">
      <c r="A234" s="199"/>
      <c r="B234" s="123"/>
      <c r="C234" s="123"/>
      <c r="D234" s="123"/>
      <c r="E234" s="123"/>
      <c r="F234" s="123"/>
      <c r="G234" s="123"/>
      <c r="H234" s="123"/>
      <c r="I234" s="123"/>
      <c r="J234" s="123"/>
      <c r="K234" s="123"/>
      <c r="L234" s="123"/>
      <c r="M234" s="123"/>
      <c r="N234" s="123"/>
      <c r="O234" s="123"/>
      <c r="P234" s="145" t="s">
        <v>196</v>
      </c>
      <c r="Q234" s="123"/>
      <c r="R234" s="123"/>
      <c r="S234" s="123"/>
      <c r="T234" s="123"/>
      <c r="V234" s="123"/>
      <c r="W234" s="123"/>
      <c r="X234" s="123"/>
      <c r="Y234" s="123"/>
      <c r="Z234" s="123"/>
      <c r="AA234" s="123"/>
      <c r="AB234" s="123"/>
      <c r="AC234" s="123"/>
      <c r="AD234" s="123"/>
      <c r="AE234" s="123"/>
      <c r="AF234" s="123"/>
      <c r="AG234" s="123"/>
      <c r="AH234" s="123"/>
      <c r="AI234" s="145" t="s">
        <v>205</v>
      </c>
      <c r="AJ234" s="123"/>
      <c r="AK234" s="123"/>
      <c r="AL234" s="123"/>
      <c r="AM234" s="123"/>
      <c r="AN234" s="123"/>
      <c r="AO234" s="123"/>
      <c r="AP234" s="123"/>
      <c r="AQ234" s="123"/>
      <c r="AR234" s="123"/>
      <c r="AS234" s="123"/>
      <c r="AT234" s="123"/>
      <c r="AU234" s="123"/>
      <c r="AV234" s="123"/>
      <c r="AW234" s="123"/>
      <c r="AX234" s="123"/>
    </row>
    <row r="235" spans="1:50" ht="20" customHeight="1" x14ac:dyDescent="0.2">
      <c r="A235" s="199"/>
      <c r="B235" s="123"/>
      <c r="C235" s="123"/>
      <c r="D235" s="123"/>
      <c r="E235" s="123"/>
      <c r="F235" s="123"/>
      <c r="G235" s="123"/>
      <c r="H235" s="123"/>
      <c r="I235" s="123"/>
      <c r="J235" s="123"/>
      <c r="K235" s="123"/>
      <c r="L235" s="123"/>
      <c r="M235" s="123"/>
      <c r="N235" s="123"/>
      <c r="O235" s="123"/>
      <c r="P235" s="146" cm="1">
        <f t="array" ref="P235:R244">EXP(Blueprint!P221:R230)</f>
        <v>0.85908903357151567</v>
      </c>
      <c r="Q235" s="146">
        <v>0.8442757748701426</v>
      </c>
      <c r="R235" s="146">
        <v>0.8649030527797793</v>
      </c>
      <c r="S235" s="123"/>
      <c r="T235" s="123"/>
      <c r="V235" s="123"/>
      <c r="W235" s="123"/>
      <c r="X235" s="123"/>
      <c r="Y235" s="123"/>
      <c r="Z235" s="123"/>
      <c r="AA235" s="123"/>
      <c r="AB235" s="123"/>
      <c r="AC235" s="123"/>
      <c r="AD235" s="123"/>
      <c r="AE235" s="123"/>
      <c r="AF235" s="123"/>
      <c r="AG235" s="123"/>
      <c r="AH235" s="123"/>
      <c r="AI235" s="146" cm="1">
        <f t="array" ref="AI235:AK244">-ohe/X_11</f>
        <v>0</v>
      </c>
      <c r="AJ235" s="146">
        <v>0</v>
      </c>
      <c r="AK235" s="146">
        <v>0</v>
      </c>
      <c r="AL235" s="123"/>
      <c r="AM235" s="123"/>
      <c r="AN235" s="123"/>
      <c r="AO235" s="123"/>
      <c r="AP235" s="123"/>
      <c r="AQ235" s="123"/>
      <c r="AR235" s="123"/>
      <c r="AS235" s="123"/>
      <c r="AT235" s="123"/>
      <c r="AU235" s="123"/>
      <c r="AV235" s="123"/>
      <c r="AW235" s="123"/>
      <c r="AX235" s="123"/>
    </row>
    <row r="236" spans="1:50" ht="20" customHeight="1" x14ac:dyDescent="0.2">
      <c r="A236" s="199"/>
      <c r="B236" s="123"/>
      <c r="C236" s="123"/>
      <c r="D236" s="123"/>
      <c r="E236" s="123"/>
      <c r="F236" s="123"/>
      <c r="G236" s="123"/>
      <c r="H236" s="123"/>
      <c r="I236" s="123"/>
      <c r="J236" s="123"/>
      <c r="K236" s="123"/>
      <c r="L236" s="123"/>
      <c r="M236" s="123"/>
      <c r="N236" s="123"/>
      <c r="O236" s="123"/>
      <c r="P236" s="147">
        <v>1.8462446085537765</v>
      </c>
      <c r="Q236" s="147">
        <v>2.124898230841032</v>
      </c>
      <c r="R236" s="147">
        <v>2.2345211245814842</v>
      </c>
      <c r="S236" s="123"/>
      <c r="T236" s="123"/>
      <c r="V236" s="123"/>
      <c r="W236" s="123"/>
      <c r="X236" s="123"/>
      <c r="Y236" s="123"/>
      <c r="Z236" s="123"/>
      <c r="AA236" s="123"/>
      <c r="AB236" s="123"/>
      <c r="AC236" s="123"/>
      <c r="AD236" s="123"/>
      <c r="AE236" s="123"/>
      <c r="AF236" s="123"/>
      <c r="AG236" s="123"/>
      <c r="AH236" s="123"/>
      <c r="AI236" s="147">
        <v>0</v>
      </c>
      <c r="AJ236" s="147">
        <v>0</v>
      </c>
      <c r="AK236" s="147">
        <v>0</v>
      </c>
      <c r="AL236" s="123"/>
      <c r="AM236" s="123"/>
      <c r="AN236" s="123"/>
      <c r="AO236" s="123"/>
      <c r="AP236" s="123"/>
      <c r="AQ236" s="123"/>
      <c r="AR236" s="123"/>
      <c r="AS236" s="123"/>
      <c r="AT236" s="123"/>
      <c r="AU236" s="123"/>
      <c r="AV236" s="123"/>
      <c r="AW236" s="123"/>
      <c r="AX236" s="123"/>
    </row>
    <row r="237" spans="1:50" ht="20" customHeight="1" x14ac:dyDescent="0.2">
      <c r="A237" s="199"/>
      <c r="B237" s="123"/>
      <c r="C237" s="123"/>
      <c r="D237" s="123"/>
      <c r="E237" s="123"/>
      <c r="F237" s="123"/>
      <c r="G237" s="123"/>
      <c r="H237" s="123"/>
      <c r="I237" s="123"/>
      <c r="J237" s="123"/>
      <c r="K237" s="123"/>
      <c r="L237" s="123"/>
      <c r="M237" s="123"/>
      <c r="N237" s="123"/>
      <c r="O237" s="123"/>
      <c r="P237" s="147">
        <v>0.84427168710813016</v>
      </c>
      <c r="Q237" s="147">
        <v>1.0165477161308865</v>
      </c>
      <c r="R237" s="147">
        <v>1.1757682053988465</v>
      </c>
      <c r="S237" s="123"/>
      <c r="T237" s="123"/>
      <c r="V237" s="123"/>
      <c r="W237" s="123"/>
      <c r="X237" s="123"/>
      <c r="Y237" s="123"/>
      <c r="Z237" s="123"/>
      <c r="AA237" s="123"/>
      <c r="AB237" s="123"/>
      <c r="AC237" s="123"/>
      <c r="AD237" s="123"/>
      <c r="AE237" s="123"/>
      <c r="AF237" s="123"/>
      <c r="AG237" s="123"/>
      <c r="AH237" s="123"/>
      <c r="AI237" s="147">
        <v>0</v>
      </c>
      <c r="AJ237" s="147">
        <v>0</v>
      </c>
      <c r="AK237" s="147">
        <v>0</v>
      </c>
      <c r="AL237" s="123"/>
      <c r="AM237" s="123"/>
      <c r="AN237" s="123"/>
      <c r="AO237" s="123"/>
      <c r="AP237" s="123"/>
      <c r="AQ237" s="123"/>
      <c r="AR237" s="123"/>
      <c r="AS237" s="123"/>
      <c r="AT237" s="123"/>
      <c r="AU237" s="123"/>
      <c r="AV237" s="123"/>
      <c r="AW237" s="123"/>
      <c r="AX237" s="123"/>
    </row>
    <row r="238" spans="1:50" ht="20" customHeight="1" x14ac:dyDescent="0.2">
      <c r="A238" s="199"/>
      <c r="B238" s="123"/>
      <c r="C238" s="123"/>
      <c r="D238" s="123"/>
      <c r="E238" s="123"/>
      <c r="F238" s="123"/>
      <c r="G238" s="123"/>
      <c r="H238" s="123"/>
      <c r="I238" s="123"/>
      <c r="J238" s="123"/>
      <c r="K238" s="123"/>
      <c r="L238" s="123"/>
      <c r="M238" s="123"/>
      <c r="N238" s="123"/>
      <c r="O238" s="123"/>
      <c r="P238" s="147">
        <v>1.3391864718900808</v>
      </c>
      <c r="Q238" s="147">
        <v>1.0414439950395744</v>
      </c>
      <c r="R238" s="147">
        <v>0.93441492647152435</v>
      </c>
      <c r="S238" s="123"/>
      <c r="T238" s="123"/>
      <c r="V238" s="123"/>
      <c r="W238" s="123"/>
      <c r="X238" s="123"/>
      <c r="Y238" s="123"/>
      <c r="Z238" s="123"/>
      <c r="AA238" s="123"/>
      <c r="AB238" s="123"/>
      <c r="AC238" s="123"/>
      <c r="AD238" s="123"/>
      <c r="AE238" s="123"/>
      <c r="AF238" s="123"/>
      <c r="AG238" s="123"/>
      <c r="AH238" s="123"/>
      <c r="AI238" s="147">
        <v>0</v>
      </c>
      <c r="AJ238" s="147">
        <v>0</v>
      </c>
      <c r="AK238" s="147">
        <v>0</v>
      </c>
      <c r="AL238" s="123"/>
      <c r="AM238" s="123"/>
      <c r="AN238" s="123"/>
      <c r="AO238" s="123"/>
      <c r="AP238" s="123"/>
      <c r="AQ238" s="123"/>
      <c r="AR238" s="123"/>
      <c r="AS238" s="123"/>
      <c r="AT238" s="123"/>
      <c r="AU238" s="123"/>
      <c r="AV238" s="123"/>
      <c r="AW238" s="123"/>
      <c r="AX238" s="123"/>
    </row>
    <row r="239" spans="1:50" ht="20" customHeight="1" x14ac:dyDescent="0.2">
      <c r="A239" s="199"/>
      <c r="B239" s="123"/>
      <c r="C239" s="123"/>
      <c r="D239" s="123"/>
      <c r="E239" s="123"/>
      <c r="F239" s="123"/>
      <c r="G239" s="123"/>
      <c r="H239" s="123"/>
      <c r="I239" s="123"/>
      <c r="J239" s="123"/>
      <c r="K239" s="123"/>
      <c r="L239" s="123"/>
      <c r="M239" s="123"/>
      <c r="N239" s="123"/>
      <c r="O239" s="123"/>
      <c r="P239" s="147">
        <v>0.86499061234076913</v>
      </c>
      <c r="Q239" s="147">
        <v>0.902268023916453</v>
      </c>
      <c r="R239" s="147">
        <v>0.93708449994781973</v>
      </c>
      <c r="S239" s="123"/>
      <c r="T239" s="123"/>
      <c r="V239" s="123"/>
      <c r="W239" s="123"/>
      <c r="X239" s="123"/>
      <c r="Y239" s="123"/>
      <c r="Z239" s="123"/>
      <c r="AA239" s="123"/>
      <c r="AB239" s="123"/>
      <c r="AC239" s="123"/>
      <c r="AD239" s="123"/>
      <c r="AE239" s="123"/>
      <c r="AF239" s="123"/>
      <c r="AG239" s="123"/>
      <c r="AH239" s="123"/>
      <c r="AI239" s="147">
        <v>0</v>
      </c>
      <c r="AJ239" s="147">
        <v>0</v>
      </c>
      <c r="AK239" s="147">
        <v>0</v>
      </c>
      <c r="AL239" s="123"/>
      <c r="AM239" s="123"/>
      <c r="AN239" s="123"/>
      <c r="AO239" s="123"/>
      <c r="AP239" s="123"/>
      <c r="AQ239" s="123"/>
      <c r="AR239" s="123"/>
      <c r="AS239" s="123"/>
      <c r="AT239" s="123"/>
      <c r="AU239" s="123"/>
      <c r="AV239" s="123"/>
      <c r="AW239" s="123"/>
      <c r="AX239" s="123"/>
    </row>
    <row r="240" spans="1:50" ht="20" customHeight="1" x14ac:dyDescent="0.2">
      <c r="A240" s="199"/>
      <c r="B240" s="123"/>
      <c r="C240" s="123"/>
      <c r="D240" s="123"/>
      <c r="E240" s="123"/>
      <c r="F240" s="123"/>
      <c r="G240" s="123"/>
      <c r="H240" s="123"/>
      <c r="I240" s="123"/>
      <c r="J240" s="123"/>
      <c r="K240" s="123"/>
      <c r="L240" s="123"/>
      <c r="M240" s="123"/>
      <c r="N240" s="123"/>
      <c r="O240" s="123"/>
      <c r="P240" s="147">
        <v>0.88361282414273901</v>
      </c>
      <c r="Q240" s="147">
        <v>0.85167593383933382</v>
      </c>
      <c r="R240" s="147">
        <v>0.84379672687535856</v>
      </c>
      <c r="S240" s="123"/>
      <c r="T240" s="123"/>
      <c r="V240" s="123"/>
      <c r="W240" s="123"/>
      <c r="X240" s="123"/>
      <c r="Y240" s="123"/>
      <c r="Z240" s="123"/>
      <c r="AA240" s="123"/>
      <c r="AB240" s="123"/>
      <c r="AC240" s="123"/>
      <c r="AD240" s="123"/>
      <c r="AE240" s="123"/>
      <c r="AF240" s="123"/>
      <c r="AG240" s="123"/>
      <c r="AH240" s="123"/>
      <c r="AI240" s="147">
        <v>-12.802503947947789</v>
      </c>
      <c r="AJ240" s="147">
        <v>0</v>
      </c>
      <c r="AK240" s="147">
        <v>0</v>
      </c>
      <c r="AL240" s="123"/>
      <c r="AM240" s="123"/>
      <c r="AN240" s="123"/>
      <c r="AO240" s="123"/>
      <c r="AP240" s="123"/>
      <c r="AQ240" s="123"/>
      <c r="AR240" s="123"/>
      <c r="AS240" s="123"/>
      <c r="AT240" s="123"/>
      <c r="AU240" s="123"/>
      <c r="AV240" s="123"/>
      <c r="AW240" s="123"/>
      <c r="AX240" s="123"/>
    </row>
    <row r="241" spans="1:50" ht="20" customHeight="1" x14ac:dyDescent="0.2">
      <c r="A241" s="199"/>
      <c r="B241" s="123"/>
      <c r="C241" s="123"/>
      <c r="D241" s="123"/>
      <c r="E241" s="123"/>
      <c r="F241" s="123"/>
      <c r="G241" s="123"/>
      <c r="H241" s="123"/>
      <c r="I241" s="123"/>
      <c r="J241" s="123"/>
      <c r="K241" s="123"/>
      <c r="L241" s="123"/>
      <c r="M241" s="123"/>
      <c r="N241" s="123"/>
      <c r="O241" s="123"/>
      <c r="P241" s="147">
        <v>0.84369097381063252</v>
      </c>
      <c r="Q241" s="147">
        <v>0.88052906053397184</v>
      </c>
      <c r="R241" s="147">
        <v>0.91503628312167495</v>
      </c>
      <c r="S241" s="123"/>
      <c r="T241" s="123"/>
      <c r="V241" s="123"/>
      <c r="W241" s="123"/>
      <c r="X241" s="123"/>
      <c r="Y241" s="123"/>
      <c r="Z241" s="123"/>
      <c r="AA241" s="123"/>
      <c r="AB241" s="123"/>
      <c r="AC241" s="123"/>
      <c r="AD241" s="123"/>
      <c r="AE241" s="123"/>
      <c r="AF241" s="123"/>
      <c r="AG241" s="123"/>
      <c r="AH241" s="123"/>
      <c r="AI241" s="147">
        <v>0</v>
      </c>
      <c r="AJ241" s="147">
        <v>0</v>
      </c>
      <c r="AK241" s="147">
        <v>0</v>
      </c>
      <c r="AL241" s="123"/>
      <c r="AM241" s="123"/>
      <c r="AN241" s="123"/>
      <c r="AO241" s="123"/>
      <c r="AP241" s="123"/>
      <c r="AQ241" s="123"/>
      <c r="AR241" s="123"/>
      <c r="AS241" s="123"/>
      <c r="AT241" s="123"/>
      <c r="AU241" s="123"/>
      <c r="AV241" s="123"/>
      <c r="AW241" s="123"/>
      <c r="AX241" s="123"/>
    </row>
    <row r="242" spans="1:50" ht="20" customHeight="1" x14ac:dyDescent="0.2">
      <c r="A242" s="199"/>
      <c r="B242" s="123"/>
      <c r="C242" s="123"/>
      <c r="D242" s="123"/>
      <c r="E242" s="123"/>
      <c r="F242" s="123"/>
      <c r="G242" s="123"/>
      <c r="H242" s="123"/>
      <c r="I242" s="123"/>
      <c r="J242" s="123"/>
      <c r="K242" s="123"/>
      <c r="L242" s="123"/>
      <c r="M242" s="123"/>
      <c r="N242" s="123"/>
      <c r="O242" s="123"/>
      <c r="P242" s="147">
        <v>0.9727901115979346</v>
      </c>
      <c r="Q242" s="147">
        <v>0.84469003397476961</v>
      </c>
      <c r="R242" s="147">
        <v>0.84433251601416037</v>
      </c>
      <c r="S242" s="123"/>
      <c r="T242" s="123"/>
      <c r="V242" s="123"/>
      <c r="W242" s="123"/>
      <c r="X242" s="123"/>
      <c r="Y242" s="123"/>
      <c r="Z242" s="123"/>
      <c r="AA242" s="123"/>
      <c r="AB242" s="123"/>
      <c r="AC242" s="123"/>
      <c r="AD242" s="123"/>
      <c r="AE242" s="123"/>
      <c r="AF242" s="123"/>
      <c r="AG242" s="123"/>
      <c r="AH242" s="123"/>
      <c r="AI242" s="147">
        <v>0</v>
      </c>
      <c r="AJ242" s="147">
        <v>0</v>
      </c>
      <c r="AK242" s="147">
        <v>0</v>
      </c>
      <c r="AL242" s="123"/>
      <c r="AM242" s="123"/>
      <c r="AN242" s="123"/>
      <c r="AO242" s="123"/>
      <c r="AP242" s="123"/>
      <c r="AQ242" s="123"/>
      <c r="AR242" s="123"/>
      <c r="AS242" s="123"/>
      <c r="AT242" s="123"/>
      <c r="AU242" s="123"/>
      <c r="AV242" s="123"/>
      <c r="AW242" s="123"/>
      <c r="AX242" s="123"/>
    </row>
    <row r="243" spans="1:50" ht="20" customHeight="1" x14ac:dyDescent="0.2">
      <c r="A243" s="199"/>
      <c r="B243" s="123"/>
      <c r="C243" s="123"/>
      <c r="D243" s="123"/>
      <c r="E243" s="123"/>
      <c r="F243" s="123"/>
      <c r="G243" s="123"/>
      <c r="H243" s="123"/>
      <c r="I243" s="123"/>
      <c r="J243" s="123"/>
      <c r="K243" s="123"/>
      <c r="L243" s="123"/>
      <c r="M243" s="123"/>
      <c r="N243" s="123"/>
      <c r="O243" s="123"/>
      <c r="P243" s="147">
        <v>1.3568151188953717</v>
      </c>
      <c r="Q243" s="147">
        <v>1.450007445378481</v>
      </c>
      <c r="R243" s="147">
        <v>1.5725644413477096</v>
      </c>
      <c r="S243" s="123"/>
      <c r="T243" s="123"/>
      <c r="V243" s="123"/>
      <c r="W243" s="123"/>
      <c r="X243" s="123"/>
      <c r="Y243" s="123"/>
      <c r="Z243" s="123"/>
      <c r="AA243" s="123"/>
      <c r="AB243" s="123"/>
      <c r="AC243" s="123"/>
      <c r="AD243" s="123"/>
      <c r="AE243" s="123"/>
      <c r="AF243" s="123"/>
      <c r="AG243" s="123"/>
      <c r="AH243" s="123"/>
      <c r="AI243" s="147">
        <v>0</v>
      </c>
      <c r="AJ243" s="147">
        <v>-8.8986380211966498</v>
      </c>
      <c r="AK243" s="147">
        <v>-9.2123688749620793</v>
      </c>
      <c r="AL243" s="123"/>
      <c r="AM243" s="123"/>
      <c r="AN243" s="123"/>
      <c r="AO243" s="123"/>
      <c r="AP243" s="123"/>
      <c r="AQ243" s="123"/>
      <c r="AR243" s="123"/>
      <c r="AS243" s="123"/>
      <c r="AT243" s="123"/>
      <c r="AU243" s="123"/>
      <c r="AV243" s="123"/>
      <c r="AW243" s="123"/>
      <c r="AX243" s="123"/>
    </row>
    <row r="244" spans="1:50" ht="20" customHeight="1" x14ac:dyDescent="0.2">
      <c r="A244" s="199"/>
      <c r="B244" s="123"/>
      <c r="C244" s="123"/>
      <c r="D244" s="123"/>
      <c r="E244" s="123"/>
      <c r="F244" s="123"/>
      <c r="G244" s="123"/>
      <c r="H244" s="123"/>
      <c r="I244" s="123"/>
      <c r="J244" s="123"/>
      <c r="K244" s="123"/>
      <c r="L244" s="123"/>
      <c r="M244" s="123"/>
      <c r="N244" s="123"/>
      <c r="O244" s="123"/>
      <c r="P244" s="148">
        <v>1.5017652276337636</v>
      </c>
      <c r="Q244" s="148">
        <v>2.9467551699385348</v>
      </c>
      <c r="R244" s="148">
        <v>4.1646219368054105</v>
      </c>
      <c r="S244" s="123"/>
      <c r="T244" s="123"/>
      <c r="V244" s="123"/>
      <c r="W244" s="123"/>
      <c r="X244" s="123"/>
      <c r="Y244" s="123"/>
      <c r="Z244" s="123"/>
      <c r="AA244" s="123"/>
      <c r="AB244" s="123"/>
      <c r="AC244" s="123"/>
      <c r="AD244" s="123"/>
      <c r="AE244" s="123"/>
      <c r="AF244" s="123"/>
      <c r="AG244" s="123"/>
      <c r="AH244" s="123"/>
      <c r="AI244" s="148">
        <v>0</v>
      </c>
      <c r="AJ244" s="148">
        <v>0</v>
      </c>
      <c r="AK244" s="148">
        <v>0</v>
      </c>
      <c r="AL244" s="123"/>
      <c r="AM244" s="123"/>
      <c r="AN244" s="123"/>
      <c r="AO244" s="123"/>
      <c r="AP244" s="123"/>
      <c r="AQ244" s="123"/>
      <c r="AR244" s="123"/>
      <c r="AS244" s="123"/>
      <c r="AT244" s="123"/>
      <c r="AU244" s="123"/>
      <c r="AV244" s="123"/>
      <c r="AW244" s="123"/>
      <c r="AX244" s="123"/>
    </row>
    <row r="245" spans="1:50" ht="20" customHeight="1" x14ac:dyDescent="0.2">
      <c r="A245" s="199"/>
      <c r="B245" s="123"/>
      <c r="C245" s="123"/>
      <c r="D245" s="123"/>
      <c r="E245" s="123"/>
      <c r="F245" s="123"/>
      <c r="G245" s="123"/>
      <c r="H245" s="123"/>
      <c r="I245" s="123"/>
      <c r="J245" s="123"/>
      <c r="K245" s="123"/>
      <c r="L245" s="123"/>
      <c r="M245" s="123"/>
      <c r="N245" s="123"/>
      <c r="O245" s="123"/>
      <c r="P245" s="145" t="s">
        <v>123</v>
      </c>
      <c r="Q245" s="123"/>
      <c r="R245" s="123"/>
      <c r="S245" s="123"/>
      <c r="T245" s="123"/>
      <c r="V245" s="123"/>
      <c r="W245" s="123"/>
      <c r="X245" s="123"/>
      <c r="Y245" s="123"/>
      <c r="Z245" s="123"/>
      <c r="AA245" s="123"/>
      <c r="AB245" s="123"/>
      <c r="AC245" s="123"/>
      <c r="AD245" s="123"/>
      <c r="AE245" s="123"/>
      <c r="AF245" s="123"/>
      <c r="AG245" s="123"/>
      <c r="AH245" s="123"/>
      <c r="AI245" s="123"/>
      <c r="AJ245" s="123"/>
      <c r="AK245" s="123"/>
      <c r="AL245" s="123"/>
      <c r="AM245" s="123"/>
      <c r="AN245" s="123"/>
      <c r="AO245" s="123"/>
      <c r="AP245" s="123"/>
      <c r="AQ245" s="123"/>
      <c r="AR245" s="123"/>
      <c r="AS245" s="123"/>
      <c r="AT245" s="123"/>
      <c r="AU245" s="123"/>
      <c r="AV245" s="123"/>
      <c r="AW245" s="123"/>
      <c r="AX245" s="123"/>
    </row>
    <row r="246" spans="1:50" ht="20" customHeight="1" x14ac:dyDescent="0.2">
      <c r="A246" s="199"/>
      <c r="B246" s="123"/>
      <c r="C246" s="123"/>
      <c r="D246" s="123"/>
      <c r="E246" s="123"/>
      <c r="F246" s="123"/>
      <c r="G246" s="123"/>
      <c r="H246" s="123"/>
      <c r="I246" s="123"/>
      <c r="J246" s="123"/>
      <c r="K246" s="123"/>
      <c r="L246" s="123"/>
      <c r="M246" s="123"/>
      <c r="N246" s="123"/>
      <c r="O246" s="123"/>
      <c r="P246" s="157" cm="1">
        <f t="array" ref="P246:R246">_xlfn.BYCOL(Blueprint!P235:R244, _xlfn.LAMBDA(_xlpm.col, SUM(_xlpm.col)))</f>
        <v>11.312456669544712</v>
      </c>
      <c r="Q246" s="157">
        <v>12.903091384463178</v>
      </c>
      <c r="R246" s="157">
        <v>14.48704371334377</v>
      </c>
      <c r="S246" s="123"/>
      <c r="T246" s="123"/>
      <c r="V246" s="123"/>
      <c r="W246" s="123"/>
      <c r="X246" s="123"/>
      <c r="Y246" s="123"/>
      <c r="Z246" s="123"/>
      <c r="AA246" s="123"/>
      <c r="AB246" s="123"/>
      <c r="AC246" s="123"/>
      <c r="AD246" s="123"/>
      <c r="AE246" s="123"/>
      <c r="AF246" s="123"/>
      <c r="AG246" s="123"/>
      <c r="AH246" s="123"/>
      <c r="AI246" s="123"/>
      <c r="AJ246" s="123"/>
      <c r="AK246" s="123"/>
      <c r="AL246" s="123"/>
      <c r="AM246" s="123"/>
      <c r="AN246" s="123"/>
      <c r="AO246" s="123"/>
      <c r="AP246" s="123"/>
      <c r="AQ246" s="123"/>
      <c r="AR246" s="123"/>
      <c r="AS246" s="123"/>
      <c r="AT246" s="123"/>
      <c r="AU246" s="123"/>
      <c r="AV246" s="123"/>
      <c r="AW246" s="123"/>
      <c r="AX246" s="123"/>
    </row>
    <row r="247" spans="1:50" ht="20" customHeight="1" x14ac:dyDescent="0.2">
      <c r="A247" s="199"/>
      <c r="B247" s="123"/>
      <c r="C247" s="123"/>
      <c r="D247" s="123"/>
      <c r="E247" s="123"/>
      <c r="F247" s="123"/>
      <c r="G247" s="123"/>
      <c r="H247" s="123"/>
      <c r="I247" s="123"/>
      <c r="J247" s="123"/>
      <c r="K247" s="123"/>
      <c r="L247" s="123"/>
      <c r="M247" s="123"/>
      <c r="N247" s="123"/>
      <c r="O247" s="123"/>
      <c r="P247" s="145" t="s">
        <v>197</v>
      </c>
      <c r="Q247" s="123"/>
      <c r="R247" s="123"/>
      <c r="S247" s="123"/>
      <c r="T247" s="123"/>
      <c r="V247" s="123"/>
      <c r="W247" s="123"/>
      <c r="X247" s="123"/>
      <c r="Y247" s="123"/>
      <c r="Z247" s="123"/>
      <c r="AA247" s="123"/>
      <c r="AB247" s="123"/>
      <c r="AC247" s="123"/>
      <c r="AD247" s="123"/>
      <c r="AE247" s="123"/>
      <c r="AF247" s="123"/>
      <c r="AG247" s="123"/>
      <c r="AH247" s="123"/>
      <c r="AI247" s="123"/>
      <c r="AJ247" s="123"/>
      <c r="AK247" s="123"/>
      <c r="AL247" s="123"/>
      <c r="AM247" s="123"/>
      <c r="AN247" s="123"/>
      <c r="AO247" s="123"/>
      <c r="AP247" s="123"/>
      <c r="AQ247" s="123"/>
      <c r="AR247" s="123"/>
      <c r="AS247" s="123"/>
      <c r="AT247" s="123"/>
      <c r="AU247" s="123"/>
      <c r="AV247" s="123"/>
      <c r="AW247" s="123"/>
      <c r="AX247" s="123"/>
    </row>
    <row r="248" spans="1:50" ht="20" customHeight="1" x14ac:dyDescent="0.2">
      <c r="A248" s="199"/>
      <c r="B248" s="123"/>
      <c r="C248" s="123"/>
      <c r="D248" s="123"/>
      <c r="E248" s="123"/>
      <c r="F248" s="123"/>
      <c r="G248" s="123"/>
      <c r="H248" s="123"/>
      <c r="I248" s="123"/>
      <c r="J248" s="123"/>
      <c r="K248" s="123"/>
      <c r="L248" s="123"/>
      <c r="M248" s="123"/>
      <c r="N248" s="123"/>
      <c r="O248" s="123"/>
      <c r="P248" s="146" cm="1">
        <f t="array" ref="P248:R257">Blueprint!P235:R244/Blueprint!P246:R246</f>
        <v>7.5941862909791019E-2</v>
      </c>
      <c r="Q248" s="146">
        <v>6.5432054204215648E-2</v>
      </c>
      <c r="R248" s="146">
        <v>5.9701832195283001E-2</v>
      </c>
      <c r="S248" s="123"/>
      <c r="T248" s="123"/>
      <c r="V248" s="123"/>
      <c r="W248" s="123"/>
      <c r="X248" s="123"/>
      <c r="Y248" s="123"/>
      <c r="Z248" s="123"/>
      <c r="AA248" s="123"/>
      <c r="AB248" s="123"/>
      <c r="AC248" s="123"/>
      <c r="AD248" s="123"/>
      <c r="AE248" s="123"/>
      <c r="AF248" s="123"/>
      <c r="AG248" s="123"/>
      <c r="AH248" s="123"/>
      <c r="AI248" s="123"/>
      <c r="AJ248" s="123"/>
      <c r="AK248" s="123"/>
      <c r="AL248" s="123"/>
      <c r="AM248" s="123"/>
      <c r="AN248" s="123"/>
      <c r="AO248" s="123"/>
      <c r="AP248" s="123"/>
      <c r="AQ248" s="123"/>
      <c r="AR248" s="123"/>
      <c r="AS248" s="123"/>
      <c r="AT248" s="123"/>
      <c r="AU248" s="123"/>
      <c r="AV248" s="123"/>
      <c r="AW248" s="123"/>
      <c r="AX248" s="123"/>
    </row>
    <row r="249" spans="1:50" ht="20" customHeight="1" x14ac:dyDescent="0.2">
      <c r="A249" s="199"/>
      <c r="B249" s="123"/>
      <c r="C249" s="123"/>
      <c r="D249" s="123"/>
      <c r="E249" s="123"/>
      <c r="F249" s="123"/>
      <c r="G249" s="123"/>
      <c r="H249" s="123"/>
      <c r="I249" s="123"/>
      <c r="J249" s="123"/>
      <c r="K249" s="123"/>
      <c r="L249" s="123"/>
      <c r="M249" s="123"/>
      <c r="N249" s="123"/>
      <c r="O249" s="123"/>
      <c r="P249" s="147">
        <v>0.16320456842272099</v>
      </c>
      <c r="Q249" s="147">
        <v>0.16468132849153161</v>
      </c>
      <c r="R249" s="147">
        <v>0.15424272672852535</v>
      </c>
      <c r="S249" s="123"/>
      <c r="T249" s="123"/>
      <c r="V249" s="123"/>
      <c r="W249" s="123"/>
      <c r="X249" s="123"/>
      <c r="Y249" s="123"/>
      <c r="Z249" s="123"/>
      <c r="AA249" s="123"/>
      <c r="AB249" s="123"/>
      <c r="AC249" s="123"/>
      <c r="AD249" s="123"/>
      <c r="AE249" s="123"/>
      <c r="AF249" s="123"/>
      <c r="AG249" s="123"/>
      <c r="AH249" s="123"/>
      <c r="AI249" s="123"/>
      <c r="AJ249" s="123"/>
      <c r="AK249" s="123"/>
      <c r="AL249" s="123"/>
      <c r="AM249" s="123"/>
      <c r="AN249" s="123"/>
      <c r="AO249" s="123"/>
      <c r="AP249" s="123"/>
      <c r="AQ249" s="123"/>
      <c r="AR249" s="123"/>
      <c r="AS249" s="123"/>
      <c r="AT249" s="123"/>
      <c r="AU249" s="123"/>
      <c r="AV249" s="123"/>
      <c r="AW249" s="123"/>
      <c r="AX249" s="123"/>
    </row>
    <row r="250" spans="1:50" ht="20" customHeight="1" x14ac:dyDescent="0.2">
      <c r="A250" s="199"/>
      <c r="B250" s="123"/>
      <c r="C250" s="123"/>
      <c r="D250" s="123"/>
      <c r="E250" s="123"/>
      <c r="F250" s="123"/>
      <c r="G250" s="123"/>
      <c r="H250" s="123"/>
      <c r="I250" s="123"/>
      <c r="J250" s="123"/>
      <c r="K250" s="123"/>
      <c r="L250" s="123"/>
      <c r="M250" s="123"/>
      <c r="N250" s="123"/>
      <c r="O250" s="123"/>
      <c r="P250" s="147">
        <v>7.4632037210897811E-2</v>
      </c>
      <c r="Q250" s="147">
        <v>7.8783268740925769E-2</v>
      </c>
      <c r="R250" s="147">
        <v>8.1159981888911284E-2</v>
      </c>
      <c r="S250" s="123"/>
      <c r="T250" s="123"/>
      <c r="V250" s="123"/>
      <c r="W250" s="123"/>
      <c r="X250" s="123"/>
      <c r="Y250" s="123"/>
      <c r="Z250" s="123"/>
      <c r="AA250" s="123"/>
      <c r="AB250" s="123"/>
      <c r="AC250" s="123"/>
      <c r="AD250" s="123"/>
      <c r="AE250" s="123"/>
      <c r="AF250" s="123"/>
      <c r="AG250" s="123"/>
      <c r="AH250" s="123"/>
      <c r="AI250" s="123"/>
      <c r="AJ250" s="123"/>
      <c r="AK250" s="123"/>
      <c r="AL250" s="123"/>
      <c r="AM250" s="123"/>
      <c r="AN250" s="123"/>
      <c r="AO250" s="123"/>
      <c r="AP250" s="123"/>
      <c r="AQ250" s="123"/>
      <c r="AR250" s="123"/>
      <c r="AS250" s="123"/>
      <c r="AT250" s="123"/>
      <c r="AU250" s="123"/>
      <c r="AV250" s="123"/>
      <c r="AW250" s="123"/>
      <c r="AX250" s="123"/>
    </row>
    <row r="251" spans="1:50" ht="20" customHeight="1" x14ac:dyDescent="0.2">
      <c r="A251" s="199"/>
      <c r="B251" s="123"/>
      <c r="C251" s="123"/>
      <c r="D251" s="123"/>
      <c r="E251" s="123"/>
      <c r="F251" s="123"/>
      <c r="G251" s="123"/>
      <c r="H251" s="123"/>
      <c r="I251" s="123"/>
      <c r="J251" s="123"/>
      <c r="K251" s="123"/>
      <c r="L251" s="123"/>
      <c r="M251" s="123"/>
      <c r="N251" s="123"/>
      <c r="O251" s="123"/>
      <c r="P251" s="147">
        <v>0.11838157802587884</v>
      </c>
      <c r="Q251" s="147">
        <v>8.0712750457118676E-2</v>
      </c>
      <c r="R251" s="147">
        <v>6.4500041896805402E-2</v>
      </c>
      <c r="S251" s="123"/>
      <c r="T251" s="123"/>
      <c r="V251" s="123"/>
      <c r="W251" s="123"/>
      <c r="X251" s="123"/>
      <c r="Y251" s="123"/>
      <c r="Z251" s="123"/>
      <c r="AA251" s="123"/>
      <c r="AB251" s="123"/>
      <c r="AC251" s="123"/>
      <c r="AD251" s="123"/>
      <c r="AE251" s="123"/>
      <c r="AF251" s="123"/>
      <c r="AG251" s="123"/>
      <c r="AH251" s="123"/>
      <c r="AI251" s="123"/>
      <c r="AJ251" s="123"/>
      <c r="AK251" s="123"/>
      <c r="AL251" s="123"/>
      <c r="AM251" s="123"/>
      <c r="AN251" s="123"/>
      <c r="AO251" s="123"/>
      <c r="AP251" s="123"/>
      <c r="AQ251" s="123"/>
      <c r="AR251" s="123"/>
      <c r="AS251" s="123"/>
      <c r="AT251" s="123"/>
      <c r="AU251" s="123"/>
      <c r="AV251" s="123"/>
      <c r="AW251" s="123"/>
      <c r="AX251" s="123"/>
    </row>
    <row r="252" spans="1:50" ht="20" customHeight="1" x14ac:dyDescent="0.2">
      <c r="A252" s="199"/>
      <c r="B252" s="123"/>
      <c r="C252" s="123"/>
      <c r="D252" s="123"/>
      <c r="E252" s="123"/>
      <c r="F252" s="123"/>
      <c r="G252" s="123"/>
      <c r="H252" s="123"/>
      <c r="I252" s="123"/>
      <c r="J252" s="123"/>
      <c r="K252" s="123"/>
      <c r="L252" s="123"/>
      <c r="M252" s="123"/>
      <c r="N252" s="123"/>
      <c r="O252" s="123"/>
      <c r="P252" s="147">
        <v>7.6463551429062138E-2</v>
      </c>
      <c r="Q252" s="147">
        <v>6.9926500327114519E-2</v>
      </c>
      <c r="R252" s="147">
        <v>6.4684315067309914E-2</v>
      </c>
      <c r="S252" s="123"/>
      <c r="T252" s="123"/>
      <c r="V252" s="123"/>
      <c r="W252" s="123"/>
      <c r="X252" s="123"/>
      <c r="Y252" s="123"/>
      <c r="Z252" s="123"/>
      <c r="AA252" s="123"/>
      <c r="AB252" s="123"/>
      <c r="AC252" s="123"/>
      <c r="AD252" s="123"/>
      <c r="AE252" s="123"/>
      <c r="AF252" s="123"/>
      <c r="AG252" s="123"/>
      <c r="AH252" s="123"/>
      <c r="AI252" s="123"/>
      <c r="AJ252" s="123"/>
      <c r="AK252" s="123"/>
      <c r="AL252" s="123"/>
      <c r="AM252" s="123"/>
      <c r="AN252" s="123"/>
      <c r="AO252" s="123"/>
      <c r="AP252" s="123"/>
      <c r="AQ252" s="123"/>
      <c r="AR252" s="123"/>
      <c r="AS252" s="123"/>
      <c r="AT252" s="123"/>
      <c r="AU252" s="123"/>
      <c r="AV252" s="123"/>
      <c r="AW252" s="123"/>
      <c r="AX252" s="123"/>
    </row>
    <row r="253" spans="1:50" ht="20" customHeight="1" x14ac:dyDescent="0.2">
      <c r="A253" s="199"/>
      <c r="B253" s="123"/>
      <c r="C253" s="123"/>
      <c r="D253" s="123"/>
      <c r="E253" s="123"/>
      <c r="F253" s="123"/>
      <c r="G253" s="123"/>
      <c r="H253" s="123"/>
      <c r="I253" s="123"/>
      <c r="J253" s="123"/>
      <c r="K253" s="123"/>
      <c r="L253" s="123"/>
      <c r="M253" s="123"/>
      <c r="N253" s="123"/>
      <c r="O253" s="123"/>
      <c r="P253" s="147">
        <v>7.8109720103644073E-2</v>
      </c>
      <c r="Q253" s="147">
        <v>6.6005572499071866E-2</v>
      </c>
      <c r="R253" s="147">
        <v>5.824492170877843E-2</v>
      </c>
      <c r="S253" s="123"/>
      <c r="T253" s="123"/>
      <c r="V253" s="123"/>
      <c r="W253" s="123"/>
      <c r="X253" s="123"/>
      <c r="Y253" s="123"/>
      <c r="Z253" s="123"/>
      <c r="AA253" s="123"/>
      <c r="AB253" s="123"/>
      <c r="AC253" s="123"/>
      <c r="AD253" s="123"/>
      <c r="AE253" s="123"/>
      <c r="AF253" s="123"/>
      <c r="AG253" s="123"/>
      <c r="AH253" s="123"/>
      <c r="AI253" s="123"/>
      <c r="AJ253" s="123"/>
      <c r="AK253" s="123"/>
      <c r="AL253" s="123"/>
      <c r="AM253" s="123"/>
      <c r="AN253" s="123"/>
      <c r="AO253" s="123"/>
      <c r="AP253" s="123"/>
      <c r="AQ253" s="123"/>
      <c r="AR253" s="123"/>
      <c r="AS253" s="123"/>
      <c r="AT253" s="123"/>
      <c r="AU253" s="123"/>
      <c r="AV253" s="123"/>
      <c r="AW253" s="123"/>
      <c r="AX253" s="123"/>
    </row>
    <row r="254" spans="1:50" ht="20" customHeight="1" x14ac:dyDescent="0.2">
      <c r="A254" s="199"/>
      <c r="B254" s="123"/>
      <c r="C254" s="123"/>
      <c r="D254" s="123"/>
      <c r="E254" s="123"/>
      <c r="F254" s="123"/>
      <c r="G254" s="123"/>
      <c r="H254" s="123"/>
      <c r="I254" s="123"/>
      <c r="J254" s="123"/>
      <c r="K254" s="123"/>
      <c r="L254" s="123"/>
      <c r="M254" s="123"/>
      <c r="N254" s="123"/>
      <c r="O254" s="123"/>
      <c r="P254" s="147">
        <v>7.4580703242117977E-2</v>
      </c>
      <c r="Q254" s="147">
        <v>6.8241713113357569E-2</v>
      </c>
      <c r="R254" s="147">
        <v>6.3162388491921961E-2</v>
      </c>
      <c r="S254" s="123"/>
      <c r="T254" s="123"/>
      <c r="V254" s="123"/>
      <c r="W254" s="123"/>
      <c r="X254" s="123"/>
      <c r="Y254" s="123"/>
      <c r="Z254" s="123"/>
      <c r="AA254" s="123"/>
      <c r="AB254" s="123"/>
      <c r="AC254" s="123"/>
      <c r="AD254" s="123"/>
      <c r="AE254" s="123"/>
      <c r="AF254" s="123"/>
      <c r="AG254" s="123"/>
      <c r="AH254" s="123"/>
      <c r="AI254" s="123"/>
      <c r="AJ254" s="123"/>
      <c r="AK254" s="123"/>
      <c r="AL254" s="123"/>
      <c r="AM254" s="123"/>
      <c r="AN254" s="123"/>
      <c r="AO254" s="123"/>
      <c r="AP254" s="123"/>
      <c r="AQ254" s="123"/>
      <c r="AR254" s="123"/>
      <c r="AS254" s="123"/>
      <c r="AT254" s="123"/>
      <c r="AU254" s="123"/>
      <c r="AV254" s="123"/>
      <c r="AW254" s="123"/>
      <c r="AX254" s="123"/>
    </row>
    <row r="255" spans="1:50" ht="20" customHeight="1" x14ac:dyDescent="0.2">
      <c r="A255" s="199"/>
      <c r="B255" s="123"/>
      <c r="C255" s="123"/>
      <c r="D255" s="123"/>
      <c r="E255" s="123"/>
      <c r="F255" s="123"/>
      <c r="G255" s="123"/>
      <c r="H255" s="123"/>
      <c r="I255" s="123"/>
      <c r="J255" s="123"/>
      <c r="K255" s="123"/>
      <c r="L255" s="123"/>
      <c r="M255" s="123"/>
      <c r="N255" s="123"/>
      <c r="O255" s="123"/>
      <c r="P255" s="147">
        <v>8.5992825432593331E-2</v>
      </c>
      <c r="Q255" s="147">
        <v>6.5464159619288961E-2</v>
      </c>
      <c r="R255" s="147">
        <v>5.8281905730460389E-2</v>
      </c>
      <c r="S255" s="123"/>
      <c r="T255" s="123"/>
      <c r="V255" s="123"/>
      <c r="W255" s="123"/>
      <c r="X255" s="123"/>
      <c r="Y255" s="123"/>
      <c r="Z255" s="123"/>
      <c r="AA255" s="123"/>
      <c r="AB255" s="123"/>
      <c r="AC255" s="123"/>
      <c r="AD255" s="123"/>
      <c r="AE255" s="123"/>
      <c r="AF255" s="123"/>
      <c r="AG255" s="123"/>
      <c r="AH255" s="123"/>
      <c r="AI255" s="123"/>
      <c r="AJ255" s="123"/>
      <c r="AK255" s="123"/>
      <c r="AL255" s="123"/>
      <c r="AM255" s="123"/>
      <c r="AN255" s="123"/>
      <c r="AO255" s="123"/>
      <c r="AP255" s="123"/>
      <c r="AQ255" s="123"/>
      <c r="AR255" s="123"/>
      <c r="AS255" s="123"/>
      <c r="AT255" s="123"/>
      <c r="AU255" s="123"/>
      <c r="AV255" s="123"/>
      <c r="AW255" s="123"/>
      <c r="AX255" s="123"/>
    </row>
    <row r="256" spans="1:50" ht="20" customHeight="1" x14ac:dyDescent="0.2">
      <c r="A256" s="199"/>
      <c r="B256" s="123"/>
      <c r="C256" s="123"/>
      <c r="D256" s="123"/>
      <c r="E256" s="123"/>
      <c r="F256" s="123"/>
      <c r="G256" s="123"/>
      <c r="H256" s="123"/>
      <c r="I256" s="123"/>
      <c r="J256" s="123"/>
      <c r="K256" s="123"/>
      <c r="L256" s="123"/>
      <c r="M256" s="123"/>
      <c r="N256" s="123"/>
      <c r="O256" s="123"/>
      <c r="P256" s="147">
        <v>0.11993991743174374</v>
      </c>
      <c r="Q256" s="147">
        <v>0.11237674772453822</v>
      </c>
      <c r="R256" s="147">
        <v>0.10854971327926947</v>
      </c>
      <c r="S256" s="123"/>
      <c r="T256" s="123"/>
      <c r="V256" s="123"/>
      <c r="W256" s="123"/>
      <c r="X256" s="123"/>
      <c r="Y256" s="123"/>
      <c r="Z256" s="123"/>
      <c r="AA256" s="123"/>
      <c r="AB256" s="123"/>
      <c r="AC256" s="123"/>
      <c r="AD256" s="123"/>
      <c r="AE256" s="123"/>
      <c r="AF256" s="123"/>
      <c r="AG256" s="123"/>
      <c r="AH256" s="123"/>
      <c r="AI256" s="123"/>
      <c r="AJ256" s="123"/>
      <c r="AK256" s="123"/>
      <c r="AL256" s="123"/>
      <c r="AM256" s="123"/>
      <c r="AN256" s="123"/>
      <c r="AO256" s="123"/>
      <c r="AP256" s="123"/>
      <c r="AQ256" s="123"/>
      <c r="AR256" s="123"/>
      <c r="AS256" s="123"/>
      <c r="AT256" s="123"/>
      <c r="AU256" s="123"/>
      <c r="AV256" s="123"/>
      <c r="AW256" s="123"/>
      <c r="AX256" s="123"/>
    </row>
    <row r="257" spans="1:50" ht="20" customHeight="1" x14ac:dyDescent="0.2">
      <c r="A257" s="199"/>
      <c r="B257" s="123"/>
      <c r="C257" s="123"/>
      <c r="D257" s="123"/>
      <c r="E257" s="123"/>
      <c r="F257" s="123"/>
      <c r="G257" s="123"/>
      <c r="H257" s="123"/>
      <c r="I257" s="123"/>
      <c r="J257" s="123"/>
      <c r="K257" s="123"/>
      <c r="L257" s="123"/>
      <c r="M257" s="123"/>
      <c r="N257" s="123"/>
      <c r="O257" s="123"/>
      <c r="P257" s="148">
        <v>0.13275323579155018</v>
      </c>
      <c r="Q257" s="148">
        <v>0.22837590482283732</v>
      </c>
      <c r="R257" s="148">
        <v>0.2874721730127347</v>
      </c>
      <c r="S257" s="123"/>
      <c r="T257" s="149" t="str">
        <f>HYPERLINK("#Blueprint!torchcode", "&lt;/&gt;")</f>
        <v>&lt;/&gt;</v>
      </c>
      <c r="V257" s="149" t="str">
        <f>HYPERLINK("#Blueprint!torchcode", "&lt;/&gt;")</f>
        <v>&lt;/&gt;</v>
      </c>
      <c r="W257" s="123"/>
      <c r="X257" s="123"/>
      <c r="Y257" s="123"/>
      <c r="Z257" s="123"/>
      <c r="AA257" s="123"/>
      <c r="AB257" s="123"/>
      <c r="AC257" s="123"/>
      <c r="AD257" s="123"/>
      <c r="AE257" s="123"/>
      <c r="AF257" s="123"/>
      <c r="AG257" s="123"/>
      <c r="AH257" s="123"/>
      <c r="AI257" s="123"/>
      <c r="AJ257" s="123"/>
      <c r="AK257" s="123"/>
      <c r="AL257" s="123"/>
      <c r="AM257" s="123"/>
      <c r="AN257" s="123"/>
      <c r="AO257" s="123"/>
      <c r="AP257" s="123"/>
      <c r="AQ257" s="123"/>
      <c r="AR257" s="123"/>
      <c r="AS257" s="123"/>
      <c r="AT257" s="123"/>
      <c r="AU257" s="123"/>
      <c r="AV257" s="123"/>
      <c r="AW257" s="123"/>
      <c r="AX257" s="123"/>
    </row>
    <row r="258" spans="1:50" ht="20" customHeight="1" x14ac:dyDescent="0.2">
      <c r="A258" s="199"/>
      <c r="B258" s="123"/>
      <c r="C258" s="123"/>
      <c r="D258" s="123"/>
      <c r="E258" s="123"/>
      <c r="F258" s="123"/>
      <c r="G258" s="123"/>
      <c r="H258" s="123"/>
      <c r="I258" s="123"/>
      <c r="J258" s="123"/>
      <c r="K258" s="123"/>
      <c r="L258" s="123"/>
      <c r="M258" s="123"/>
      <c r="N258" s="123"/>
      <c r="O258" s="123"/>
      <c r="P258" s="123"/>
      <c r="Q258" s="123"/>
      <c r="R258" s="123"/>
      <c r="S258" s="123"/>
      <c r="T258" s="150" t="str">
        <f>HYPERLINK("#X", "▲")</f>
        <v>▲</v>
      </c>
      <c r="V258" s="150" t="str">
        <f>HYPERLINK("#X", "▲")</f>
        <v>▲</v>
      </c>
      <c r="W258" s="123"/>
      <c r="X258" s="123"/>
      <c r="Y258" s="123"/>
      <c r="Z258" s="123"/>
      <c r="AA258" s="123"/>
      <c r="AB258" s="123"/>
      <c r="AC258" s="123"/>
      <c r="AD258" s="123"/>
      <c r="AE258" s="123"/>
      <c r="AF258" s="123"/>
      <c r="AG258" s="123"/>
      <c r="AH258" s="123"/>
      <c r="AI258" s="123"/>
      <c r="AJ258" s="123"/>
      <c r="AK258" s="123"/>
      <c r="AL258" s="123"/>
      <c r="AM258" s="123"/>
      <c r="AN258" s="123"/>
      <c r="AO258" s="123"/>
      <c r="AP258" s="123"/>
      <c r="AQ258" s="123"/>
      <c r="AR258" s="123"/>
      <c r="AS258" s="123"/>
      <c r="AT258" s="123"/>
      <c r="AU258" s="123"/>
      <c r="AV258" s="123"/>
      <c r="AW258" s="123"/>
      <c r="AX258" s="123"/>
    </row>
    <row r="259" spans="1:50" ht="20" customHeight="1" x14ac:dyDescent="0.2">
      <c r="P259" s="143" t="s">
        <v>117</v>
      </c>
      <c r="Q259" s="143" t="s">
        <v>117</v>
      </c>
      <c r="R259" s="143" t="s">
        <v>117</v>
      </c>
    </row>
    <row r="260" spans="1:50" ht="20" customHeight="1" x14ac:dyDescent="0.2">
      <c r="A260" s="198" t="s">
        <v>203</v>
      </c>
      <c r="B260" s="130"/>
      <c r="C260" s="130"/>
      <c r="D260" s="130"/>
      <c r="E260" s="130"/>
      <c r="F260" s="130"/>
      <c r="G260" s="130"/>
      <c r="H260" s="130"/>
      <c r="I260" s="130"/>
      <c r="J260" s="130"/>
      <c r="K260" s="130"/>
      <c r="L260" s="130"/>
      <c r="M260" s="130"/>
      <c r="N260" s="130"/>
      <c r="O260" s="130"/>
      <c r="P260" s="131" t="s">
        <v>199</v>
      </c>
      <c r="Q260" s="130"/>
      <c r="R260" s="130"/>
      <c r="S260" s="130"/>
      <c r="T260" s="130"/>
      <c r="V260" s="158"/>
      <c r="W260" s="158"/>
      <c r="X260" s="158"/>
      <c r="Y260" s="158"/>
      <c r="Z260" s="158"/>
      <c r="AA260" s="158"/>
      <c r="AB260" s="158"/>
      <c r="AC260" s="158"/>
      <c r="AD260" s="158"/>
      <c r="AE260" s="158"/>
      <c r="AF260" s="158"/>
      <c r="AG260" s="158"/>
      <c r="AH260" s="158"/>
      <c r="AI260" s="158"/>
      <c r="AJ260" s="158"/>
      <c r="AK260" s="158"/>
      <c r="AL260" s="158"/>
      <c r="AM260" s="158"/>
      <c r="AN260" s="158"/>
      <c r="AO260" s="158"/>
      <c r="AP260" s="158"/>
      <c r="AQ260" s="158"/>
      <c r="AR260" s="158"/>
      <c r="AS260" s="158"/>
      <c r="AT260" s="158"/>
      <c r="AU260" s="158"/>
      <c r="AV260" s="158"/>
      <c r="AW260" s="158"/>
      <c r="AX260" s="158"/>
    </row>
    <row r="261" spans="1:50" ht="20" customHeight="1" x14ac:dyDescent="0.2">
      <c r="A261" s="198"/>
      <c r="B261" s="130"/>
      <c r="C261" s="130"/>
      <c r="D261" s="130"/>
      <c r="E261" s="130"/>
      <c r="F261" s="130"/>
      <c r="G261" s="130"/>
      <c r="H261" s="130"/>
      <c r="I261" s="130"/>
      <c r="J261" s="130"/>
      <c r="K261" s="130"/>
      <c r="L261" s="130"/>
      <c r="M261" s="130"/>
      <c r="N261" s="130"/>
      <c r="O261" s="130"/>
      <c r="P261" s="133" t="s">
        <v>200</v>
      </c>
      <c r="Q261" s="130"/>
      <c r="R261" s="130"/>
      <c r="S261" s="130"/>
      <c r="T261" s="130"/>
      <c r="V261" s="158"/>
      <c r="W261" s="158"/>
      <c r="X261" s="158"/>
      <c r="Y261" s="158"/>
      <c r="Z261" s="158"/>
      <c r="AA261" s="158"/>
      <c r="AB261" s="158"/>
      <c r="AC261" s="158"/>
      <c r="AD261" s="158"/>
      <c r="AE261" s="158"/>
      <c r="AF261" s="158"/>
      <c r="AG261" s="158"/>
      <c r="AH261" s="158"/>
      <c r="AI261" s="158"/>
      <c r="AJ261" s="158"/>
      <c r="AK261" s="158"/>
      <c r="AL261" s="158"/>
      <c r="AM261" s="158"/>
      <c r="AN261" s="158"/>
      <c r="AO261" s="158"/>
      <c r="AP261" s="158"/>
      <c r="AQ261" s="158"/>
      <c r="AR261" s="158"/>
      <c r="AS261" s="158"/>
      <c r="AT261" s="158"/>
      <c r="AU261" s="158"/>
      <c r="AV261" s="158"/>
      <c r="AW261" s="158"/>
      <c r="AX261" s="158"/>
    </row>
    <row r="262" spans="1:50" ht="20" customHeight="1" x14ac:dyDescent="0.2">
      <c r="A262" s="198"/>
      <c r="B262" s="130"/>
      <c r="C262" s="130"/>
      <c r="D262" s="130"/>
      <c r="E262" s="130"/>
      <c r="F262" s="130"/>
      <c r="G262" s="130"/>
      <c r="H262" s="130"/>
      <c r="I262" s="130"/>
      <c r="J262" s="130"/>
      <c r="K262" s="130"/>
      <c r="L262" s="130"/>
      <c r="M262" s="130"/>
      <c r="N262" s="130"/>
      <c r="O262" s="130"/>
      <c r="P262" s="138" cm="1">
        <f t="array" ref="P262:R271">LN(Blueprint!P248:R257+0.000000001)</f>
        <v>-2.5777871799736216</v>
      </c>
      <c r="Q262" s="138">
        <v>-2.7267429998614769</v>
      </c>
      <c r="R262" s="138">
        <v>-2.8183925522663644</v>
      </c>
      <c r="S262" s="130"/>
      <c r="T262" s="130"/>
      <c r="V262" s="158"/>
      <c r="W262" s="158"/>
      <c r="X262" s="158"/>
      <c r="Y262" s="158"/>
      <c r="Z262" s="158"/>
      <c r="AA262" s="158"/>
      <c r="AB262" s="158"/>
      <c r="AC262" s="158"/>
      <c r="AD262" s="158"/>
      <c r="AE262" s="158"/>
      <c r="AF262" s="158"/>
      <c r="AG262" s="158"/>
      <c r="AH262" s="158"/>
      <c r="AI262" s="158"/>
      <c r="AJ262" s="158"/>
      <c r="AK262" s="158"/>
      <c r="AL262" s="158"/>
      <c r="AM262" s="158"/>
      <c r="AN262" s="158"/>
      <c r="AO262" s="158"/>
      <c r="AP262" s="158"/>
      <c r="AQ262" s="158"/>
      <c r="AR262" s="158"/>
      <c r="AS262" s="158"/>
      <c r="AT262" s="158"/>
      <c r="AU262" s="158"/>
      <c r="AV262" s="158"/>
      <c r="AW262" s="158"/>
      <c r="AX262" s="158"/>
    </row>
    <row r="263" spans="1:50" ht="20" customHeight="1" x14ac:dyDescent="0.2">
      <c r="A263" s="198"/>
      <c r="B263" s="130"/>
      <c r="C263" s="130"/>
      <c r="D263" s="130"/>
      <c r="E263" s="130"/>
      <c r="F263" s="130"/>
      <c r="G263" s="130"/>
      <c r="H263" s="130"/>
      <c r="I263" s="130"/>
      <c r="J263" s="130"/>
      <c r="K263" s="130"/>
      <c r="L263" s="130"/>
      <c r="M263" s="130"/>
      <c r="N263" s="130"/>
      <c r="O263" s="130"/>
      <c r="P263" s="139">
        <v>-1.8127508379303612</v>
      </c>
      <c r="Q263" s="139">
        <v>-1.8037430089315079</v>
      </c>
      <c r="R263" s="139">
        <v>-1.8692277633143664</v>
      </c>
      <c r="S263" s="130"/>
      <c r="T263" s="130"/>
      <c r="V263" s="158"/>
      <c r="W263" s="158"/>
      <c r="X263" s="158"/>
      <c r="Y263" s="158"/>
      <c r="Z263" s="158"/>
      <c r="AA263" s="158"/>
      <c r="AB263" s="158"/>
      <c r="AC263" s="158"/>
      <c r="AD263" s="158"/>
      <c r="AE263" s="158"/>
      <c r="AF263" s="158"/>
      <c r="AG263" s="158"/>
      <c r="AH263" s="158"/>
      <c r="AI263" s="158"/>
      <c r="AJ263" s="158"/>
      <c r="AK263" s="158"/>
      <c r="AL263" s="158"/>
      <c r="AM263" s="158"/>
      <c r="AN263" s="158"/>
      <c r="AO263" s="158"/>
      <c r="AP263" s="158"/>
      <c r="AQ263" s="158"/>
      <c r="AR263" s="158"/>
      <c r="AS263" s="158"/>
      <c r="AT263" s="158"/>
      <c r="AU263" s="158"/>
      <c r="AV263" s="158"/>
      <c r="AW263" s="158"/>
      <c r="AX263" s="158"/>
    </row>
    <row r="264" spans="1:50" ht="20" customHeight="1" x14ac:dyDescent="0.2">
      <c r="A264" s="198"/>
      <c r="B264" s="130"/>
      <c r="C264" s="130"/>
      <c r="D264" s="130"/>
      <c r="E264" s="130"/>
      <c r="F264" s="130"/>
      <c r="G264" s="130"/>
      <c r="H264" s="130"/>
      <c r="I264" s="130"/>
      <c r="J264" s="130"/>
      <c r="K264" s="130"/>
      <c r="L264" s="130"/>
      <c r="M264" s="130"/>
      <c r="N264" s="130"/>
      <c r="O264" s="130"/>
      <c r="P264" s="139">
        <v>-2.5951853973328025</v>
      </c>
      <c r="Q264" s="139">
        <v>-2.541054617592299</v>
      </c>
      <c r="R264" s="139">
        <v>-2.5113329748560966</v>
      </c>
      <c r="S264" s="130"/>
      <c r="T264" s="130"/>
      <c r="V264" s="158"/>
      <c r="W264" s="158"/>
      <c r="X264" s="158"/>
      <c r="Y264" s="158"/>
      <c r="Z264" s="158"/>
      <c r="AA264" s="158"/>
      <c r="AB264" s="158"/>
      <c r="AC264" s="158"/>
      <c r="AD264" s="158"/>
      <c r="AE264" s="158"/>
      <c r="AF264" s="158"/>
      <c r="AG264" s="158"/>
      <c r="AH264" s="158"/>
      <c r="AI264" s="158"/>
      <c r="AJ264" s="158"/>
      <c r="AK264" s="158"/>
      <c r="AL264" s="158"/>
      <c r="AM264" s="158"/>
      <c r="AN264" s="158"/>
      <c r="AO264" s="158"/>
      <c r="AP264" s="158"/>
      <c r="AQ264" s="158"/>
      <c r="AR264" s="158"/>
      <c r="AS264" s="158"/>
      <c r="AT264" s="158"/>
      <c r="AU264" s="158"/>
      <c r="AV264" s="158"/>
      <c r="AW264" s="158"/>
      <c r="AX264" s="158"/>
    </row>
    <row r="265" spans="1:50" ht="20" customHeight="1" x14ac:dyDescent="0.2">
      <c r="A265" s="198"/>
      <c r="B265" s="130"/>
      <c r="C265" s="130"/>
      <c r="D265" s="130"/>
      <c r="E265" s="130"/>
      <c r="F265" s="130"/>
      <c r="G265" s="130"/>
      <c r="H265" s="130"/>
      <c r="I265" s="130"/>
      <c r="J265" s="130"/>
      <c r="K265" s="130"/>
      <c r="L265" s="130"/>
      <c r="M265" s="130"/>
      <c r="N265" s="130"/>
      <c r="O265" s="130"/>
      <c r="P265" s="139">
        <v>-2.1338421511881513</v>
      </c>
      <c r="Q265" s="139">
        <v>-2.516858705567548</v>
      </c>
      <c r="R265" s="139">
        <v>-2.7410893901138809</v>
      </c>
      <c r="S265" s="130"/>
      <c r="T265" s="130"/>
      <c r="V265" s="158"/>
      <c r="W265" s="158"/>
      <c r="X265" s="158"/>
      <c r="Y265" s="158"/>
      <c r="Z265" s="158"/>
      <c r="AA265" s="158"/>
      <c r="AB265" s="158"/>
      <c r="AC265" s="158"/>
      <c r="AD265" s="158"/>
      <c r="AE265" s="158"/>
      <c r="AF265" s="158"/>
      <c r="AG265" s="158"/>
      <c r="AH265" s="158"/>
      <c r="AI265" s="158"/>
      <c r="AJ265" s="158"/>
      <c r="AK265" s="158"/>
      <c r="AL265" s="158"/>
      <c r="AM265" s="158"/>
      <c r="AN265" s="158"/>
      <c r="AO265" s="158"/>
      <c r="AP265" s="158"/>
      <c r="AQ265" s="158"/>
      <c r="AR265" s="158"/>
      <c r="AS265" s="158"/>
      <c r="AT265" s="158"/>
      <c r="AU265" s="158"/>
      <c r="AV265" s="158"/>
      <c r="AW265" s="158"/>
      <c r="AX265" s="158"/>
    </row>
    <row r="266" spans="1:50" ht="20" customHeight="1" x14ac:dyDescent="0.2">
      <c r="A266" s="198"/>
      <c r="B266" s="130"/>
      <c r="C266" s="130"/>
      <c r="D266" s="130"/>
      <c r="E266" s="130"/>
      <c r="F266" s="130"/>
      <c r="G266" s="130"/>
      <c r="H266" s="130"/>
      <c r="I266" s="130"/>
      <c r="J266" s="130"/>
      <c r="K266" s="130"/>
      <c r="L266" s="130"/>
      <c r="M266" s="130"/>
      <c r="N266" s="130"/>
      <c r="O266" s="130"/>
      <c r="P266" s="139">
        <v>-2.5709410905184806</v>
      </c>
      <c r="Q266" s="139">
        <v>-2.6603105695902509</v>
      </c>
      <c r="R266" s="139">
        <v>-2.7382365169493021</v>
      </c>
      <c r="S266" s="130"/>
      <c r="T266" s="130"/>
      <c r="V266" s="158"/>
      <c r="W266" s="158"/>
      <c r="X266" s="158"/>
      <c r="Y266" s="158"/>
      <c r="Z266" s="158"/>
      <c r="AA266" s="158"/>
      <c r="AB266" s="158"/>
      <c r="AC266" s="158"/>
      <c r="AD266" s="158"/>
      <c r="AE266" s="158"/>
      <c r="AF266" s="158"/>
      <c r="AG266" s="158"/>
      <c r="AH266" s="158"/>
      <c r="AI266" s="158"/>
      <c r="AJ266" s="158"/>
      <c r="AK266" s="158"/>
      <c r="AL266" s="158"/>
      <c r="AM266" s="158"/>
      <c r="AN266" s="158"/>
      <c r="AO266" s="158"/>
      <c r="AP266" s="158"/>
      <c r="AQ266" s="158"/>
      <c r="AR266" s="158"/>
      <c r="AS266" s="158"/>
      <c r="AT266" s="158"/>
      <c r="AU266" s="158"/>
      <c r="AV266" s="158"/>
      <c r="AW266" s="158"/>
      <c r="AX266" s="158"/>
    </row>
    <row r="267" spans="1:50" ht="20" customHeight="1" x14ac:dyDescent="0.2">
      <c r="A267" s="198"/>
      <c r="B267" s="130"/>
      <c r="C267" s="130"/>
      <c r="D267" s="130"/>
      <c r="E267" s="130"/>
      <c r="F267" s="130"/>
      <c r="G267" s="130"/>
      <c r="H267" s="130"/>
      <c r="I267" s="130"/>
      <c r="J267" s="130"/>
      <c r="K267" s="130"/>
      <c r="L267" s="130"/>
      <c r="M267" s="130"/>
      <c r="N267" s="130"/>
      <c r="O267" s="130"/>
      <c r="P267" s="139">
        <v>-2.5496407599252087</v>
      </c>
      <c r="Q267" s="139">
        <v>-2.7180160935655207</v>
      </c>
      <c r="R267" s="139">
        <v>-2.8430983541331067</v>
      </c>
      <c r="S267" s="130"/>
      <c r="T267" s="130"/>
      <c r="V267" s="158"/>
      <c r="W267" s="158"/>
      <c r="X267" s="158"/>
      <c r="Y267" s="158"/>
      <c r="Z267" s="158"/>
      <c r="AA267" s="158"/>
      <c r="AB267" s="158"/>
      <c r="AC267" s="158"/>
      <c r="AD267" s="158"/>
      <c r="AE267" s="158"/>
      <c r="AF267" s="158"/>
      <c r="AG267" s="158"/>
      <c r="AH267" s="158"/>
      <c r="AI267" s="158"/>
      <c r="AJ267" s="158"/>
      <c r="AK267" s="158"/>
      <c r="AL267" s="158"/>
      <c r="AM267" s="158"/>
      <c r="AN267" s="158"/>
      <c r="AO267" s="158"/>
      <c r="AP267" s="158"/>
      <c r="AQ267" s="158"/>
      <c r="AR267" s="158"/>
      <c r="AS267" s="158"/>
      <c r="AT267" s="158"/>
      <c r="AU267" s="158"/>
      <c r="AV267" s="158"/>
      <c r="AW267" s="158"/>
      <c r="AX267" s="158"/>
    </row>
    <row r="268" spans="1:50" ht="20" customHeight="1" x14ac:dyDescent="0.2">
      <c r="A268" s="198"/>
      <c r="B268" s="130"/>
      <c r="C268" s="130"/>
      <c r="D268" s="130"/>
      <c r="E268" s="130"/>
      <c r="F268" s="130"/>
      <c r="G268" s="130"/>
      <c r="H268" s="130"/>
      <c r="I268" s="130"/>
      <c r="J268" s="130"/>
      <c r="K268" s="130"/>
      <c r="L268" s="130"/>
      <c r="M268" s="130"/>
      <c r="N268" s="130"/>
      <c r="O268" s="130"/>
      <c r="P268" s="139">
        <v>-2.5958734615016019</v>
      </c>
      <c r="Q268" s="139">
        <v>-2.6846992572197332</v>
      </c>
      <c r="R268" s="139">
        <v>-2.7620462579493026</v>
      </c>
      <c r="S268" s="130"/>
      <c r="T268" s="130"/>
      <c r="V268" s="158"/>
      <c r="W268" s="158"/>
      <c r="X268" s="158"/>
      <c r="Y268" s="158"/>
      <c r="Z268" s="158"/>
      <c r="AA268" s="158"/>
      <c r="AB268" s="158"/>
      <c r="AC268" s="158"/>
      <c r="AD268" s="158"/>
      <c r="AE268" s="158"/>
      <c r="AF268" s="158"/>
      <c r="AG268" s="158"/>
      <c r="AH268" s="158"/>
      <c r="AI268" s="158"/>
      <c r="AJ268" s="158"/>
      <c r="AK268" s="158"/>
      <c r="AL268" s="158"/>
      <c r="AM268" s="158"/>
      <c r="AN268" s="158"/>
      <c r="AO268" s="158"/>
      <c r="AP268" s="158"/>
      <c r="AQ268" s="158"/>
      <c r="AR268" s="158"/>
      <c r="AS268" s="158"/>
      <c r="AT268" s="158"/>
      <c r="AU268" s="158"/>
      <c r="AV268" s="158"/>
      <c r="AW268" s="158"/>
      <c r="AX268" s="158"/>
    </row>
    <row r="269" spans="1:50" ht="20" customHeight="1" x14ac:dyDescent="0.2">
      <c r="A269" s="198"/>
      <c r="B269" s="130"/>
      <c r="C269" s="130"/>
      <c r="D269" s="130"/>
      <c r="E269" s="130"/>
      <c r="F269" s="130"/>
      <c r="G269" s="130"/>
      <c r="H269" s="130"/>
      <c r="I269" s="130"/>
      <c r="J269" s="130"/>
      <c r="K269" s="130"/>
      <c r="L269" s="130"/>
      <c r="M269" s="130"/>
      <c r="N269" s="130"/>
      <c r="O269" s="130"/>
      <c r="P269" s="139">
        <v>-2.453491399782231</v>
      </c>
      <c r="Q269" s="139">
        <v>-2.7262524522086649</v>
      </c>
      <c r="R269" s="139">
        <v>-2.8424635814699908</v>
      </c>
      <c r="S269" s="130"/>
      <c r="T269" s="130"/>
      <c r="V269" s="158"/>
      <c r="W269" s="158"/>
      <c r="X269" s="158"/>
      <c r="Y269" s="158"/>
      <c r="Z269" s="158"/>
      <c r="AA269" s="158"/>
      <c r="AB269" s="158"/>
      <c r="AC269" s="158"/>
      <c r="AD269" s="158"/>
      <c r="AE269" s="158"/>
      <c r="AF269" s="158"/>
      <c r="AG269" s="158"/>
      <c r="AH269" s="158"/>
      <c r="AI269" s="158"/>
      <c r="AJ269" s="158"/>
      <c r="AK269" s="158"/>
      <c r="AL269" s="158"/>
      <c r="AM269" s="158"/>
      <c r="AN269" s="158"/>
      <c r="AO269" s="158"/>
      <c r="AP269" s="158"/>
      <c r="AQ269" s="158"/>
      <c r="AR269" s="158"/>
      <c r="AS269" s="158"/>
      <c r="AT269" s="158"/>
      <c r="AU269" s="158"/>
      <c r="AV269" s="158"/>
      <c r="AW269" s="158"/>
      <c r="AX269" s="158"/>
    </row>
    <row r="270" spans="1:50" ht="20" customHeight="1" x14ac:dyDescent="0.2">
      <c r="A270" s="198"/>
      <c r="B270" s="130"/>
      <c r="C270" s="130"/>
      <c r="D270" s="130"/>
      <c r="E270" s="130"/>
      <c r="F270" s="130"/>
      <c r="G270" s="130"/>
      <c r="H270" s="130"/>
      <c r="I270" s="130"/>
      <c r="J270" s="130"/>
      <c r="K270" s="130"/>
      <c r="L270" s="130"/>
      <c r="M270" s="130"/>
      <c r="N270" s="130"/>
      <c r="O270" s="130"/>
      <c r="P270" s="139">
        <v>-2.120764341317511</v>
      </c>
      <c r="Q270" s="139">
        <v>-2.1858982248027492</v>
      </c>
      <c r="R270" s="139">
        <v>-2.2205470148191124</v>
      </c>
      <c r="S270" s="130"/>
      <c r="T270" s="130"/>
      <c r="V270" s="158"/>
      <c r="W270" s="158"/>
      <c r="X270" s="158"/>
      <c r="Y270" s="158"/>
      <c r="Z270" s="158"/>
      <c r="AA270" s="158"/>
      <c r="AB270" s="158"/>
      <c r="AC270" s="158"/>
      <c r="AD270" s="158"/>
      <c r="AE270" s="158"/>
      <c r="AF270" s="158"/>
      <c r="AG270" s="158"/>
      <c r="AH270" s="158"/>
      <c r="AI270" s="158"/>
      <c r="AJ270" s="158"/>
      <c r="AK270" s="158"/>
      <c r="AL270" s="158"/>
      <c r="AM270" s="158"/>
      <c r="AN270" s="158"/>
      <c r="AO270" s="158"/>
      <c r="AP270" s="158"/>
      <c r="AQ270" s="158"/>
      <c r="AR270" s="158"/>
      <c r="AS270" s="158"/>
      <c r="AT270" s="158"/>
      <c r="AU270" s="158"/>
      <c r="AV270" s="158"/>
      <c r="AW270" s="158"/>
      <c r="AX270" s="158"/>
    </row>
    <row r="271" spans="1:50" ht="20" customHeight="1" x14ac:dyDescent="0.2">
      <c r="A271" s="198"/>
      <c r="B271" s="130"/>
      <c r="C271" s="130"/>
      <c r="D271" s="130"/>
      <c r="E271" s="130"/>
      <c r="F271" s="130"/>
      <c r="G271" s="130"/>
      <c r="H271" s="130"/>
      <c r="I271" s="130"/>
      <c r="J271" s="130"/>
      <c r="K271" s="130"/>
      <c r="L271" s="130"/>
      <c r="M271" s="130"/>
      <c r="N271" s="130"/>
      <c r="O271" s="130"/>
      <c r="P271" s="140">
        <v>-2.0192632365467924</v>
      </c>
      <c r="Q271" s="140">
        <v>-1.4767622979083082</v>
      </c>
      <c r="R271" s="140">
        <v>-1.246629209471465</v>
      </c>
      <c r="S271" s="130"/>
      <c r="T271" s="130"/>
      <c r="V271" s="158"/>
      <c r="W271" s="158"/>
      <c r="X271" s="158"/>
      <c r="Y271" s="158"/>
      <c r="Z271" s="158"/>
      <c r="AA271" s="158"/>
      <c r="AB271" s="158"/>
      <c r="AC271" s="158"/>
      <c r="AD271" s="158"/>
      <c r="AE271" s="158"/>
      <c r="AF271" s="158"/>
      <c r="AG271" s="158"/>
      <c r="AH271" s="158"/>
      <c r="AI271" s="158"/>
      <c r="AJ271" s="158"/>
      <c r="AK271" s="158"/>
      <c r="AL271" s="158"/>
      <c r="AM271" s="158"/>
      <c r="AN271" s="158"/>
      <c r="AO271" s="158"/>
      <c r="AP271" s="158"/>
      <c r="AQ271" s="158"/>
      <c r="AR271" s="158"/>
      <c r="AS271" s="158"/>
      <c r="AT271" s="158"/>
      <c r="AU271" s="158"/>
      <c r="AV271" s="158"/>
      <c r="AW271" s="158"/>
      <c r="AX271" s="158"/>
    </row>
    <row r="272" spans="1:50" ht="20" customHeight="1" x14ac:dyDescent="0.2">
      <c r="A272" s="198"/>
      <c r="B272" s="130"/>
      <c r="C272" s="130"/>
      <c r="D272" s="130"/>
      <c r="E272" s="130"/>
      <c r="F272" s="130"/>
      <c r="G272" s="130"/>
      <c r="H272" s="130"/>
      <c r="I272" s="130"/>
      <c r="J272" s="130"/>
      <c r="K272" s="130"/>
      <c r="L272" s="130"/>
      <c r="M272" s="130"/>
      <c r="N272" s="130"/>
      <c r="O272" s="130"/>
      <c r="P272" s="133" t="s">
        <v>124</v>
      </c>
      <c r="Q272" s="130"/>
      <c r="R272" s="130"/>
      <c r="S272" s="130"/>
      <c r="T272" s="130"/>
      <c r="V272" s="158"/>
      <c r="W272" s="158"/>
      <c r="X272" s="158"/>
      <c r="Y272" s="158"/>
      <c r="Z272" s="158"/>
      <c r="AA272" s="158"/>
      <c r="AB272" s="158"/>
      <c r="AC272" s="158"/>
      <c r="AD272" s="158"/>
      <c r="AE272" s="158"/>
      <c r="AF272" s="158"/>
      <c r="AG272" s="158"/>
      <c r="AH272" s="158"/>
      <c r="AI272" s="158"/>
      <c r="AJ272" s="158"/>
      <c r="AK272" s="158"/>
      <c r="AL272" s="158"/>
      <c r="AM272" s="158"/>
      <c r="AN272" s="158"/>
      <c r="AO272" s="158"/>
      <c r="AP272" s="158"/>
      <c r="AQ272" s="158"/>
      <c r="AR272" s="158"/>
      <c r="AS272" s="158"/>
      <c r="AT272" s="158"/>
      <c r="AU272" s="158"/>
      <c r="AV272" s="158"/>
      <c r="AW272" s="158"/>
      <c r="AX272" s="158"/>
    </row>
    <row r="273" spans="1:50" ht="20" customHeight="1" x14ac:dyDescent="0.2">
      <c r="A273" s="198"/>
      <c r="B273" s="130"/>
      <c r="C273" s="130"/>
      <c r="D273" s="130"/>
      <c r="E273" s="130"/>
      <c r="F273" s="130"/>
      <c r="G273" s="130"/>
      <c r="H273" s="130"/>
      <c r="I273" s="130"/>
      <c r="J273" s="130"/>
      <c r="K273" s="130"/>
      <c r="L273" s="130"/>
      <c r="M273" s="130"/>
      <c r="N273" s="130"/>
      <c r="O273" s="130"/>
      <c r="P273" s="138" cm="1">
        <f t="array" ref="P273:R282">Blueprint!P16:R25*Blueprint!P262:R271</f>
        <v>0</v>
      </c>
      <c r="Q273" s="138">
        <v>0</v>
      </c>
      <c r="R273" s="138">
        <v>0</v>
      </c>
      <c r="S273" s="130"/>
      <c r="T273" s="130"/>
      <c r="V273" s="158"/>
      <c r="W273" s="158"/>
      <c r="X273" s="158"/>
      <c r="Y273" s="158"/>
      <c r="Z273" s="158"/>
      <c r="AA273" s="158"/>
      <c r="AB273" s="158"/>
      <c r="AC273" s="158"/>
      <c r="AD273" s="158"/>
      <c r="AE273" s="158"/>
      <c r="AF273" s="158"/>
      <c r="AG273" s="158"/>
      <c r="AH273" s="158"/>
      <c r="AI273" s="158"/>
      <c r="AJ273" s="158"/>
      <c r="AK273" s="158"/>
      <c r="AL273" s="158"/>
      <c r="AM273" s="158"/>
      <c r="AN273" s="158"/>
      <c r="AO273" s="158"/>
      <c r="AP273" s="158"/>
      <c r="AQ273" s="158"/>
      <c r="AR273" s="158"/>
      <c r="AS273" s="158"/>
      <c r="AT273" s="158"/>
      <c r="AU273" s="158"/>
      <c r="AV273" s="158"/>
      <c r="AW273" s="158"/>
      <c r="AX273" s="158"/>
    </row>
    <row r="274" spans="1:50" ht="20" customHeight="1" x14ac:dyDescent="0.2">
      <c r="A274" s="198"/>
      <c r="B274" s="130"/>
      <c r="C274" s="130"/>
      <c r="D274" s="130"/>
      <c r="E274" s="130"/>
      <c r="F274" s="130"/>
      <c r="G274" s="130"/>
      <c r="H274" s="130"/>
      <c r="I274" s="130"/>
      <c r="J274" s="130"/>
      <c r="K274" s="130"/>
      <c r="L274" s="130"/>
      <c r="M274" s="130"/>
      <c r="N274" s="130"/>
      <c r="O274" s="130"/>
      <c r="P274" s="139">
        <v>0</v>
      </c>
      <c r="Q274" s="139">
        <v>0</v>
      </c>
      <c r="R274" s="139">
        <v>0</v>
      </c>
      <c r="S274" s="130"/>
      <c r="T274" s="130"/>
      <c r="V274" s="158"/>
      <c r="W274" s="158"/>
      <c r="X274" s="158"/>
      <c r="Y274" s="158"/>
      <c r="Z274" s="158"/>
      <c r="AA274" s="158"/>
      <c r="AB274" s="158"/>
      <c r="AC274" s="158"/>
      <c r="AD274" s="158"/>
      <c r="AE274" s="158"/>
      <c r="AF274" s="158"/>
      <c r="AG274" s="158"/>
      <c r="AH274" s="158"/>
      <c r="AI274" s="158"/>
      <c r="AJ274" s="158"/>
      <c r="AK274" s="158"/>
      <c r="AL274" s="158"/>
      <c r="AM274" s="158"/>
      <c r="AN274" s="158"/>
      <c r="AO274" s="158"/>
      <c r="AP274" s="158"/>
      <c r="AQ274" s="158"/>
      <c r="AR274" s="158"/>
      <c r="AS274" s="158"/>
      <c r="AT274" s="158"/>
      <c r="AU274" s="158"/>
      <c r="AV274" s="158"/>
      <c r="AW274" s="158"/>
      <c r="AX274" s="158"/>
    </row>
    <row r="275" spans="1:50" ht="20" customHeight="1" x14ac:dyDescent="0.2">
      <c r="A275" s="198"/>
      <c r="B275" s="130"/>
      <c r="C275" s="130"/>
      <c r="D275" s="130"/>
      <c r="E275" s="130"/>
      <c r="F275" s="130"/>
      <c r="G275" s="130"/>
      <c r="H275" s="130"/>
      <c r="I275" s="130"/>
      <c r="J275" s="130"/>
      <c r="K275" s="130"/>
      <c r="L275" s="130"/>
      <c r="M275" s="130"/>
      <c r="N275" s="130"/>
      <c r="O275" s="130"/>
      <c r="P275" s="139">
        <v>0</v>
      </c>
      <c r="Q275" s="139">
        <v>0</v>
      </c>
      <c r="R275" s="139">
        <v>0</v>
      </c>
      <c r="S275" s="130"/>
      <c r="T275" s="130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8"/>
      <c r="AF275" s="158"/>
      <c r="AG275" s="158"/>
      <c r="AH275" s="158"/>
      <c r="AI275" s="158"/>
      <c r="AJ275" s="158"/>
      <c r="AK275" s="158"/>
      <c r="AL275" s="158"/>
      <c r="AM275" s="158"/>
      <c r="AN275" s="158"/>
      <c r="AO275" s="158"/>
      <c r="AP275" s="158"/>
      <c r="AQ275" s="158"/>
      <c r="AR275" s="158"/>
      <c r="AS275" s="158"/>
      <c r="AT275" s="158"/>
      <c r="AU275" s="158"/>
      <c r="AV275" s="158"/>
      <c r="AW275" s="158"/>
      <c r="AX275" s="158"/>
    </row>
    <row r="276" spans="1:50" ht="20" customHeight="1" x14ac:dyDescent="0.2">
      <c r="A276" s="198"/>
      <c r="B276" s="130"/>
      <c r="C276" s="130"/>
      <c r="D276" s="130"/>
      <c r="E276" s="130"/>
      <c r="F276" s="130"/>
      <c r="G276" s="130"/>
      <c r="H276" s="130"/>
      <c r="I276" s="130"/>
      <c r="J276" s="130"/>
      <c r="K276" s="130"/>
      <c r="L276" s="130"/>
      <c r="M276" s="130"/>
      <c r="N276" s="130"/>
      <c r="O276" s="130"/>
      <c r="P276" s="139">
        <v>0</v>
      </c>
      <c r="Q276" s="139">
        <v>0</v>
      </c>
      <c r="R276" s="139">
        <v>0</v>
      </c>
      <c r="S276" s="130"/>
      <c r="T276" s="130"/>
      <c r="V276" s="158"/>
      <c r="W276" s="158"/>
      <c r="X276" s="158"/>
      <c r="Y276" s="158"/>
      <c r="Z276" s="158"/>
      <c r="AA276" s="158"/>
      <c r="AB276" s="158"/>
      <c r="AC276" s="158"/>
      <c r="AD276" s="158"/>
      <c r="AE276" s="158"/>
      <c r="AF276" s="158"/>
      <c r="AG276" s="158"/>
      <c r="AH276" s="158"/>
      <c r="AI276" s="158"/>
      <c r="AJ276" s="158"/>
      <c r="AK276" s="158"/>
      <c r="AL276" s="158"/>
      <c r="AM276" s="158"/>
      <c r="AN276" s="158"/>
      <c r="AO276" s="158"/>
      <c r="AP276" s="158"/>
      <c r="AQ276" s="158"/>
      <c r="AR276" s="158"/>
      <c r="AS276" s="158"/>
      <c r="AT276" s="158"/>
      <c r="AU276" s="158"/>
      <c r="AV276" s="158"/>
      <c r="AW276" s="158"/>
      <c r="AX276" s="158"/>
    </row>
    <row r="277" spans="1:50" ht="20" customHeight="1" x14ac:dyDescent="0.2">
      <c r="A277" s="198"/>
      <c r="B277" s="130"/>
      <c r="C277" s="130"/>
      <c r="D277" s="130"/>
      <c r="E277" s="130"/>
      <c r="F277" s="130"/>
      <c r="G277" s="130"/>
      <c r="H277" s="130"/>
      <c r="I277" s="130"/>
      <c r="J277" s="130"/>
      <c r="K277" s="130"/>
      <c r="L277" s="130"/>
      <c r="M277" s="130"/>
      <c r="N277" s="130"/>
      <c r="O277" s="130"/>
      <c r="P277" s="139">
        <v>0</v>
      </c>
      <c r="Q277" s="139">
        <v>0</v>
      </c>
      <c r="R277" s="139">
        <v>0</v>
      </c>
      <c r="S277" s="130"/>
      <c r="T277" s="130"/>
      <c r="V277" s="158"/>
      <c r="W277" s="158"/>
      <c r="X277" s="158"/>
      <c r="Y277" s="158"/>
      <c r="Z277" s="158"/>
      <c r="AA277" s="158"/>
      <c r="AB277" s="158"/>
      <c r="AC277" s="158"/>
      <c r="AD277" s="158"/>
      <c r="AE277" s="158"/>
      <c r="AF277" s="158"/>
      <c r="AG277" s="158"/>
      <c r="AH277" s="158"/>
      <c r="AI277" s="158"/>
      <c r="AJ277" s="158"/>
      <c r="AK277" s="158"/>
      <c r="AL277" s="158"/>
      <c r="AM277" s="158"/>
      <c r="AN277" s="158"/>
      <c r="AO277" s="158"/>
      <c r="AP277" s="158"/>
      <c r="AQ277" s="158"/>
      <c r="AR277" s="158"/>
      <c r="AS277" s="158"/>
      <c r="AT277" s="158"/>
      <c r="AU277" s="158"/>
      <c r="AV277" s="158"/>
      <c r="AW277" s="158"/>
      <c r="AX277" s="158"/>
    </row>
    <row r="278" spans="1:50" ht="20" customHeight="1" x14ac:dyDescent="0.2">
      <c r="A278" s="198"/>
      <c r="B278" s="130"/>
      <c r="C278" s="130"/>
      <c r="D278" s="130"/>
      <c r="E278" s="130"/>
      <c r="F278" s="130"/>
      <c r="G278" s="130"/>
      <c r="H278" s="130"/>
      <c r="I278" s="130"/>
      <c r="J278" s="130"/>
      <c r="K278" s="130"/>
      <c r="L278" s="130"/>
      <c r="M278" s="130"/>
      <c r="N278" s="130"/>
      <c r="O278" s="130"/>
      <c r="P278" s="139">
        <v>-2.5496407599252087</v>
      </c>
      <c r="Q278" s="139">
        <v>0</v>
      </c>
      <c r="R278" s="139">
        <v>0</v>
      </c>
      <c r="S278" s="130"/>
      <c r="T278" s="130"/>
      <c r="V278" s="158"/>
      <c r="W278" s="158"/>
      <c r="X278" s="158"/>
      <c r="Y278" s="158"/>
      <c r="Z278" s="158"/>
      <c r="AA278" s="158"/>
      <c r="AB278" s="158"/>
      <c r="AC278" s="158"/>
      <c r="AD278" s="158"/>
      <c r="AE278" s="158"/>
      <c r="AF278" s="158"/>
      <c r="AG278" s="158"/>
      <c r="AH278" s="158"/>
      <c r="AI278" s="158"/>
      <c r="AJ278" s="158"/>
      <c r="AK278" s="158"/>
      <c r="AL278" s="158"/>
      <c r="AM278" s="158"/>
      <c r="AN278" s="158"/>
      <c r="AO278" s="158"/>
      <c r="AP278" s="158"/>
      <c r="AQ278" s="158"/>
      <c r="AR278" s="158"/>
      <c r="AS278" s="158"/>
      <c r="AT278" s="158"/>
      <c r="AU278" s="158"/>
      <c r="AV278" s="158"/>
      <c r="AW278" s="158"/>
      <c r="AX278" s="158"/>
    </row>
    <row r="279" spans="1:50" ht="20" customHeight="1" x14ac:dyDescent="0.2">
      <c r="A279" s="198"/>
      <c r="B279" s="130"/>
      <c r="C279" s="130"/>
      <c r="D279" s="130"/>
      <c r="E279" s="130"/>
      <c r="F279" s="130"/>
      <c r="G279" s="130"/>
      <c r="H279" s="130"/>
      <c r="I279" s="130"/>
      <c r="J279" s="130"/>
      <c r="K279" s="130"/>
      <c r="L279" s="130"/>
      <c r="M279" s="130"/>
      <c r="N279" s="130"/>
      <c r="O279" s="130"/>
      <c r="P279" s="139">
        <v>0</v>
      </c>
      <c r="Q279" s="139">
        <v>0</v>
      </c>
      <c r="R279" s="139">
        <v>0</v>
      </c>
      <c r="S279" s="130"/>
      <c r="T279" s="130"/>
      <c r="V279" s="158"/>
      <c r="W279" s="158"/>
      <c r="X279" s="158"/>
      <c r="Y279" s="158"/>
      <c r="Z279" s="158"/>
      <c r="AA279" s="158"/>
      <c r="AB279" s="158"/>
      <c r="AC279" s="158"/>
      <c r="AD279" s="158"/>
      <c r="AE279" s="158"/>
      <c r="AF279" s="158"/>
      <c r="AG279" s="158"/>
      <c r="AH279" s="158"/>
      <c r="AI279" s="158"/>
      <c r="AJ279" s="158"/>
      <c r="AK279" s="158"/>
      <c r="AL279" s="158"/>
      <c r="AM279" s="158"/>
      <c r="AN279" s="158"/>
      <c r="AO279" s="158"/>
      <c r="AP279" s="158"/>
      <c r="AQ279" s="158"/>
      <c r="AR279" s="158"/>
      <c r="AS279" s="158"/>
      <c r="AT279" s="158"/>
      <c r="AU279" s="158"/>
      <c r="AV279" s="158"/>
      <c r="AW279" s="158"/>
      <c r="AX279" s="158"/>
    </row>
    <row r="280" spans="1:50" ht="20" customHeight="1" x14ac:dyDescent="0.2">
      <c r="A280" s="198"/>
      <c r="B280" s="130"/>
      <c r="C280" s="130"/>
      <c r="D280" s="130"/>
      <c r="E280" s="130"/>
      <c r="F280" s="130"/>
      <c r="G280" s="130"/>
      <c r="H280" s="130"/>
      <c r="I280" s="130"/>
      <c r="J280" s="130"/>
      <c r="K280" s="130"/>
      <c r="L280" s="130"/>
      <c r="M280" s="130"/>
      <c r="N280" s="130"/>
      <c r="O280" s="130"/>
      <c r="P280" s="139">
        <v>0</v>
      </c>
      <c r="Q280" s="139">
        <v>0</v>
      </c>
      <c r="R280" s="139">
        <v>0</v>
      </c>
      <c r="S280" s="130"/>
      <c r="T280" s="130"/>
      <c r="V280" s="158"/>
      <c r="W280" s="158"/>
      <c r="X280" s="158"/>
      <c r="Y280" s="158"/>
      <c r="Z280" s="158"/>
      <c r="AA280" s="158"/>
      <c r="AB280" s="158"/>
      <c r="AC280" s="158"/>
      <c r="AD280" s="158"/>
      <c r="AE280" s="158"/>
      <c r="AF280" s="158"/>
      <c r="AG280" s="158"/>
      <c r="AH280" s="158"/>
      <c r="AI280" s="158"/>
      <c r="AJ280" s="158"/>
      <c r="AK280" s="158"/>
      <c r="AL280" s="158"/>
      <c r="AM280" s="158"/>
      <c r="AN280" s="158"/>
      <c r="AO280" s="158"/>
      <c r="AP280" s="158"/>
      <c r="AQ280" s="158"/>
      <c r="AR280" s="158"/>
      <c r="AS280" s="158"/>
      <c r="AT280" s="158"/>
      <c r="AU280" s="158"/>
      <c r="AV280" s="158"/>
      <c r="AW280" s="158"/>
      <c r="AX280" s="158"/>
    </row>
    <row r="281" spans="1:50" ht="20" customHeight="1" x14ac:dyDescent="0.2">
      <c r="A281" s="198"/>
      <c r="B281" s="130"/>
      <c r="C281" s="130"/>
      <c r="D281" s="130"/>
      <c r="E281" s="130"/>
      <c r="F281" s="130"/>
      <c r="G281" s="130"/>
      <c r="H281" s="130"/>
      <c r="I281" s="130"/>
      <c r="J281" s="130"/>
      <c r="K281" s="130"/>
      <c r="L281" s="130"/>
      <c r="M281" s="130"/>
      <c r="N281" s="130"/>
      <c r="O281" s="130"/>
      <c r="P281" s="139">
        <v>0</v>
      </c>
      <c r="Q281" s="139">
        <v>-2.1858982248027492</v>
      </c>
      <c r="R281" s="139">
        <v>-2.2205470148191124</v>
      </c>
      <c r="S281" s="130"/>
      <c r="T281" s="130"/>
      <c r="V281" s="158"/>
      <c r="W281" s="158"/>
      <c r="X281" s="158"/>
      <c r="Y281" s="158"/>
      <c r="Z281" s="158"/>
      <c r="AA281" s="158"/>
      <c r="AB281" s="158"/>
      <c r="AC281" s="158"/>
      <c r="AD281" s="158"/>
      <c r="AE281" s="158"/>
      <c r="AF281" s="158"/>
      <c r="AG281" s="158"/>
      <c r="AH281" s="158"/>
      <c r="AI281" s="158"/>
      <c r="AJ281" s="158"/>
      <c r="AK281" s="158"/>
      <c r="AL281" s="158"/>
      <c r="AM281" s="158"/>
      <c r="AN281" s="158"/>
      <c r="AO281" s="158"/>
      <c r="AP281" s="158"/>
      <c r="AQ281" s="158"/>
      <c r="AR281" s="158"/>
      <c r="AS281" s="158"/>
      <c r="AT281" s="158"/>
      <c r="AU281" s="158"/>
      <c r="AV281" s="158"/>
      <c r="AW281" s="158"/>
      <c r="AX281" s="158"/>
    </row>
    <row r="282" spans="1:50" ht="20" customHeight="1" x14ac:dyDescent="0.2">
      <c r="A282" s="198"/>
      <c r="B282" s="130"/>
      <c r="C282" s="130"/>
      <c r="D282" s="130"/>
      <c r="E282" s="130"/>
      <c r="F282" s="130"/>
      <c r="G282" s="130"/>
      <c r="H282" s="130"/>
      <c r="I282" s="130"/>
      <c r="J282" s="130"/>
      <c r="K282" s="130"/>
      <c r="L282" s="130"/>
      <c r="M282" s="130"/>
      <c r="N282" s="130"/>
      <c r="O282" s="130"/>
      <c r="P282" s="140">
        <v>0</v>
      </c>
      <c r="Q282" s="140">
        <v>0</v>
      </c>
      <c r="R282" s="140">
        <v>0</v>
      </c>
      <c r="S282" s="130"/>
      <c r="T282" s="130"/>
      <c r="V282" s="158"/>
      <c r="W282" s="158"/>
      <c r="X282" s="158"/>
      <c r="Y282" s="158"/>
      <c r="Z282" s="158"/>
      <c r="AA282" s="158"/>
      <c r="AB282" s="158"/>
      <c r="AC282" s="158"/>
      <c r="AD282" s="158"/>
      <c r="AE282" s="158"/>
      <c r="AF282" s="158"/>
      <c r="AG282" s="158"/>
      <c r="AH282" s="158"/>
      <c r="AI282" s="158"/>
      <c r="AJ282" s="158"/>
      <c r="AK282" s="158"/>
      <c r="AL282" s="158"/>
      <c r="AM282" s="158"/>
      <c r="AN282" s="158"/>
      <c r="AO282" s="158"/>
      <c r="AP282" s="158"/>
      <c r="AQ282" s="158"/>
      <c r="AR282" s="158"/>
      <c r="AS282" s="158"/>
      <c r="AT282" s="158"/>
      <c r="AU282" s="158"/>
      <c r="AV282" s="158"/>
      <c r="AW282" s="158"/>
      <c r="AX282" s="158"/>
    </row>
    <row r="283" spans="1:50" ht="20" customHeight="1" x14ac:dyDescent="0.2">
      <c r="A283" s="198"/>
      <c r="B283" s="130"/>
      <c r="C283" s="130"/>
      <c r="D283" s="130"/>
      <c r="E283" s="130"/>
      <c r="F283" s="130"/>
      <c r="G283" s="130"/>
      <c r="H283" s="130"/>
      <c r="I283" s="130"/>
      <c r="J283" s="130"/>
      <c r="K283" s="130"/>
      <c r="L283" s="130"/>
      <c r="M283" s="130"/>
      <c r="N283" s="130"/>
      <c r="O283" s="130"/>
      <c r="P283" s="133" t="s">
        <v>201</v>
      </c>
      <c r="Q283" s="130"/>
      <c r="R283" s="130"/>
      <c r="S283" s="130"/>
      <c r="T283" s="130"/>
      <c r="V283" s="158"/>
      <c r="W283" s="158"/>
      <c r="X283" s="158"/>
      <c r="Y283" s="158"/>
      <c r="Z283" s="158"/>
      <c r="AA283" s="158"/>
      <c r="AB283" s="158"/>
      <c r="AC283" s="158"/>
      <c r="AD283" s="158"/>
      <c r="AE283" s="158"/>
      <c r="AF283" s="158"/>
      <c r="AG283" s="158"/>
      <c r="AH283" s="158"/>
      <c r="AI283" s="158"/>
      <c r="AJ283" s="158"/>
      <c r="AK283" s="158"/>
      <c r="AL283" s="158"/>
      <c r="AM283" s="158"/>
      <c r="AN283" s="158"/>
      <c r="AO283" s="158"/>
      <c r="AP283" s="158"/>
      <c r="AQ283" s="158"/>
      <c r="AR283" s="158"/>
      <c r="AS283" s="158"/>
      <c r="AT283" s="158"/>
      <c r="AU283" s="158"/>
      <c r="AV283" s="158"/>
      <c r="AW283" s="158"/>
      <c r="AX283" s="158"/>
    </row>
    <row r="284" spans="1:50" ht="20" customHeight="1" x14ac:dyDescent="0.2">
      <c r="A284" s="198"/>
      <c r="B284" s="130"/>
      <c r="C284" s="130"/>
      <c r="D284" s="130"/>
      <c r="E284" s="130"/>
      <c r="F284" s="130"/>
      <c r="G284" s="130"/>
      <c r="H284" s="130"/>
      <c r="I284" s="130"/>
      <c r="J284" s="130"/>
      <c r="K284" s="130"/>
      <c r="L284" s="130"/>
      <c r="M284" s="130"/>
      <c r="N284" s="130"/>
      <c r="O284" s="130"/>
      <c r="P284" s="151" cm="1">
        <f t="array" ref="P284:R284">-_xlfn.BYCOL(Blueprint!P273:R282, _xlfn.LAMBDA(_xlpm.col, SUM(_xlpm.col)))</f>
        <v>2.5496407599252087</v>
      </c>
      <c r="Q284" s="151">
        <v>2.1858982248027492</v>
      </c>
      <c r="R284" s="151">
        <v>2.2205470148191124</v>
      </c>
      <c r="S284" s="130"/>
      <c r="T284" s="130"/>
      <c r="V284" s="158"/>
      <c r="W284" s="158"/>
      <c r="X284" s="158"/>
      <c r="Y284" s="158"/>
      <c r="Z284" s="158"/>
      <c r="AA284" s="158"/>
      <c r="AB284" s="158"/>
      <c r="AC284" s="158"/>
      <c r="AD284" s="158"/>
      <c r="AE284" s="158"/>
      <c r="AF284" s="158"/>
      <c r="AG284" s="158"/>
      <c r="AH284" s="158"/>
      <c r="AI284" s="158"/>
      <c r="AJ284" s="158"/>
      <c r="AK284" s="158"/>
      <c r="AL284" s="158"/>
      <c r="AM284" s="158"/>
      <c r="AN284" s="158"/>
      <c r="AO284" s="158"/>
      <c r="AP284" s="158"/>
      <c r="AQ284" s="158"/>
      <c r="AR284" s="158"/>
      <c r="AS284" s="158"/>
      <c r="AT284" s="158"/>
      <c r="AU284" s="158"/>
      <c r="AV284" s="158"/>
      <c r="AW284" s="158"/>
      <c r="AX284" s="158"/>
    </row>
    <row r="285" spans="1:50" ht="20" customHeight="1" x14ac:dyDescent="0.2">
      <c r="A285" s="198"/>
      <c r="B285" s="130"/>
      <c r="C285" s="130"/>
      <c r="D285" s="130"/>
      <c r="E285" s="130"/>
      <c r="F285" s="130"/>
      <c r="G285" s="130"/>
      <c r="H285" s="130"/>
      <c r="I285" s="130"/>
      <c r="J285" s="130"/>
      <c r="K285" s="130"/>
      <c r="L285" s="130"/>
      <c r="M285" s="130"/>
      <c r="N285" s="130"/>
      <c r="O285" s="130"/>
      <c r="P285" s="131" t="s">
        <v>202</v>
      </c>
      <c r="Q285" s="130"/>
      <c r="R285" s="130"/>
      <c r="S285" s="130"/>
      <c r="T285" s="130"/>
      <c r="V285" s="158"/>
      <c r="W285" s="158"/>
      <c r="X285" s="158"/>
      <c r="Y285" s="158"/>
      <c r="Z285" s="158"/>
      <c r="AA285" s="158"/>
      <c r="AB285" s="158"/>
      <c r="AC285" s="158"/>
      <c r="AD285" s="158"/>
      <c r="AE285" s="158"/>
      <c r="AF285" s="158"/>
      <c r="AG285" s="158"/>
      <c r="AH285" s="158"/>
      <c r="AI285" s="158"/>
      <c r="AJ285" s="158"/>
      <c r="AK285" s="158"/>
      <c r="AL285" s="158"/>
      <c r="AM285" s="158"/>
      <c r="AN285" s="158"/>
      <c r="AO285" s="158"/>
      <c r="AP285" s="158"/>
      <c r="AQ285" s="158"/>
      <c r="AR285" s="158"/>
      <c r="AS285" s="158"/>
      <c r="AT285" s="158"/>
      <c r="AU285" s="158"/>
      <c r="AV285" s="158"/>
      <c r="AW285" s="158"/>
      <c r="AX285" s="158"/>
    </row>
    <row r="286" spans="1:50" ht="20" customHeight="1" x14ac:dyDescent="0.2">
      <c r="A286" s="198"/>
      <c r="B286" s="130"/>
      <c r="C286" s="130"/>
      <c r="D286" s="130"/>
      <c r="E286" s="130"/>
      <c r="F286" s="130"/>
      <c r="G286" s="130"/>
      <c r="H286" s="130"/>
      <c r="I286" s="130"/>
      <c r="J286" s="130"/>
      <c r="K286" s="130"/>
      <c r="L286" s="130"/>
      <c r="M286" s="130"/>
      <c r="N286" s="130"/>
      <c r="O286" s="130"/>
      <c r="P286" s="211">
        <f>AVERAGE(Blueprint!P284:R284)</f>
        <v>2.3186953331823568</v>
      </c>
      <c r="Q286" s="211"/>
      <c r="R286" s="130"/>
      <c r="S286" s="130"/>
      <c r="T286" s="141" t="str">
        <f>HYPERLINK("#Blueprint!torchcode", "&lt;/&gt;")</f>
        <v>&lt;/&gt;</v>
      </c>
      <c r="V286" s="158"/>
      <c r="W286" s="158"/>
      <c r="X286" s="158"/>
      <c r="Y286" s="158"/>
      <c r="Z286" s="158"/>
      <c r="AA286" s="158"/>
      <c r="AB286" s="158"/>
      <c r="AC286" s="158"/>
      <c r="AD286" s="158"/>
      <c r="AE286" s="158"/>
      <c r="AF286" s="158"/>
      <c r="AG286" s="158"/>
      <c r="AH286" s="158"/>
      <c r="AI286" s="158"/>
      <c r="AJ286" s="158"/>
      <c r="AK286" s="158"/>
      <c r="AL286" s="158"/>
      <c r="AM286" s="158"/>
      <c r="AN286" s="158"/>
      <c r="AO286" s="158"/>
      <c r="AP286" s="158"/>
      <c r="AQ286" s="158"/>
      <c r="AR286" s="158"/>
      <c r="AS286" s="158"/>
      <c r="AT286" s="158"/>
      <c r="AU286" s="158"/>
      <c r="AV286" s="158"/>
      <c r="AW286" s="158"/>
      <c r="AX286" s="158"/>
    </row>
    <row r="287" spans="1:50" ht="20" customHeight="1" x14ac:dyDescent="0.2">
      <c r="A287" s="198"/>
      <c r="B287" s="130"/>
      <c r="C287" s="130"/>
      <c r="D287" s="130"/>
      <c r="E287" s="130"/>
      <c r="F287" s="130"/>
      <c r="G287" s="130"/>
      <c r="H287" s="130"/>
      <c r="I287" s="130"/>
      <c r="J287" s="130"/>
      <c r="K287" s="130"/>
      <c r="L287" s="130"/>
      <c r="M287" s="130"/>
      <c r="N287" s="130"/>
      <c r="O287" s="130"/>
      <c r="P287" s="130"/>
      <c r="Q287" s="130"/>
      <c r="R287" s="130"/>
      <c r="S287" s="130"/>
      <c r="T287" s="142" t="str">
        <f>HYPERLINK("#X", "▲")</f>
        <v>▲</v>
      </c>
      <c r="V287" s="158"/>
      <c r="W287" s="158"/>
      <c r="X287" s="158"/>
      <c r="Y287" s="158"/>
      <c r="Z287" s="158"/>
      <c r="AA287" s="158"/>
      <c r="AB287" s="158"/>
      <c r="AC287" s="158"/>
      <c r="AD287" s="158"/>
      <c r="AE287" s="158"/>
      <c r="AF287" s="158"/>
      <c r="AG287" s="158"/>
      <c r="AH287" s="158"/>
      <c r="AI287" s="158"/>
      <c r="AJ287" s="158"/>
      <c r="AK287" s="158"/>
      <c r="AL287" s="158"/>
      <c r="AM287" s="158"/>
      <c r="AN287" s="158"/>
      <c r="AO287" s="158"/>
      <c r="AP287" s="158"/>
      <c r="AQ287" s="158"/>
      <c r="AR287" s="158"/>
      <c r="AS287" s="158"/>
      <c r="AT287" s="158"/>
      <c r="AU287" s="158"/>
      <c r="AV287" s="158"/>
      <c r="AW287" s="158"/>
      <c r="AX287" s="158"/>
    </row>
  </sheetData>
  <mergeCells count="91">
    <mergeCell ref="BO46:BP46"/>
    <mergeCell ref="BR46:CM46"/>
    <mergeCell ref="BO47:BP47"/>
    <mergeCell ref="BR47:CM47"/>
    <mergeCell ref="BO48:BP48"/>
    <mergeCell ref="BR48:CM48"/>
    <mergeCell ref="BO43:BP43"/>
    <mergeCell ref="BR43:CM43"/>
    <mergeCell ref="BO44:BP44"/>
    <mergeCell ref="BR44:CM44"/>
    <mergeCell ref="BO45:BP45"/>
    <mergeCell ref="BR45:CM45"/>
    <mergeCell ref="BO40:BP40"/>
    <mergeCell ref="BR40:CM40"/>
    <mergeCell ref="BO41:BP41"/>
    <mergeCell ref="BR41:CM41"/>
    <mergeCell ref="BO42:BP42"/>
    <mergeCell ref="BR42:CM42"/>
    <mergeCell ref="BO37:BP37"/>
    <mergeCell ref="BR37:CM37"/>
    <mergeCell ref="BO38:BP38"/>
    <mergeCell ref="BR38:CM38"/>
    <mergeCell ref="BO39:BP39"/>
    <mergeCell ref="BR39:CM39"/>
    <mergeCell ref="BO34:BP34"/>
    <mergeCell ref="BR34:CM34"/>
    <mergeCell ref="BO35:BP35"/>
    <mergeCell ref="BR35:CM35"/>
    <mergeCell ref="BO36:BP36"/>
    <mergeCell ref="BR36:CM36"/>
    <mergeCell ref="BO31:BP31"/>
    <mergeCell ref="BR31:CM31"/>
    <mergeCell ref="BO32:BP32"/>
    <mergeCell ref="BR32:CM32"/>
    <mergeCell ref="BO33:BP33"/>
    <mergeCell ref="BR33:CM33"/>
    <mergeCell ref="BO28:BP28"/>
    <mergeCell ref="BR28:CM28"/>
    <mergeCell ref="BO29:BP29"/>
    <mergeCell ref="BR29:CM29"/>
    <mergeCell ref="BO30:BP30"/>
    <mergeCell ref="BR30:CM30"/>
    <mergeCell ref="BO25:BP25"/>
    <mergeCell ref="BR25:CM25"/>
    <mergeCell ref="BO26:BP26"/>
    <mergeCell ref="BR26:CM26"/>
    <mergeCell ref="BO27:BP27"/>
    <mergeCell ref="BR27:CM27"/>
    <mergeCell ref="BO22:BP22"/>
    <mergeCell ref="BR22:CM22"/>
    <mergeCell ref="BO23:BP23"/>
    <mergeCell ref="BR23:CM23"/>
    <mergeCell ref="BO24:BP24"/>
    <mergeCell ref="BR24:CM24"/>
    <mergeCell ref="BO19:BP19"/>
    <mergeCell ref="BR19:CM19"/>
    <mergeCell ref="BO20:BP20"/>
    <mergeCell ref="BR20:CM20"/>
    <mergeCell ref="BO21:BP21"/>
    <mergeCell ref="BR21:CM21"/>
    <mergeCell ref="BO16:BP16"/>
    <mergeCell ref="BR16:CM16"/>
    <mergeCell ref="BO17:BP17"/>
    <mergeCell ref="BR17:CM17"/>
    <mergeCell ref="BO18:BP18"/>
    <mergeCell ref="BR18:CM18"/>
    <mergeCell ref="BM2:CM2"/>
    <mergeCell ref="BO13:BP13"/>
    <mergeCell ref="BR13:CM13"/>
    <mergeCell ref="BO14:BP14"/>
    <mergeCell ref="BR14:CM14"/>
    <mergeCell ref="BO15:BP15"/>
    <mergeCell ref="BR15:CM15"/>
    <mergeCell ref="P286:Q286"/>
    <mergeCell ref="A260:A287"/>
    <mergeCell ref="B2:T2"/>
    <mergeCell ref="BA25:BC25"/>
    <mergeCell ref="V2:AX2"/>
    <mergeCell ref="AZ2:BJ2"/>
    <mergeCell ref="A130:A158"/>
    <mergeCell ref="A160:A170"/>
    <mergeCell ref="A172:A192"/>
    <mergeCell ref="A194:A206"/>
    <mergeCell ref="A208:A231"/>
    <mergeCell ref="A233:A258"/>
    <mergeCell ref="A27:A33"/>
    <mergeCell ref="A35:A46"/>
    <mergeCell ref="A48:A65"/>
    <mergeCell ref="A67:A79"/>
    <mergeCell ref="A81:A116"/>
    <mergeCell ref="A118:A128"/>
  </mergeCells>
  <conditionalFormatting sqref="P5:R11">
    <cfRule type="colorScale" priority="1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P16:R25">
    <cfRule type="colorScale" priority="2">
      <colorScale>
        <cfvo type="min"/>
        <cfvo type="percentile" val="50"/>
        <cfvo type="max"/>
        <color rgb="FFF5F5F5"/>
        <color rgb="FFF5F5F5"/>
        <color rgb="FFFF0000"/>
      </colorScale>
    </cfRule>
  </conditionalFormatting>
  <conditionalFormatting sqref="G29:N32">
    <cfRule type="colorScale" priority="3">
      <colorScale>
        <cfvo type="min"/>
        <cfvo type="percentile" val="50"/>
        <cfvo type="max"/>
        <color rgb="FFFFA500"/>
        <color rgb="FFF5F5F5"/>
        <color rgb="FFFFFF00"/>
      </colorScale>
    </cfRule>
  </conditionalFormatting>
  <conditionalFormatting sqref="P29:R32">
    <cfRule type="colorScale" priority="4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P37:R40">
    <cfRule type="colorScale" priority="5">
      <colorScale>
        <cfvo type="min"/>
        <cfvo type="percentile" val="50"/>
        <cfvo type="max"/>
        <color rgb="FF228B22"/>
        <color rgb="FFF5F5F5"/>
        <color rgb="FF98FB98"/>
      </colorScale>
    </cfRule>
  </conditionalFormatting>
  <conditionalFormatting sqref="P42:R45">
    <cfRule type="colorScale" priority="6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P50:R53">
    <cfRule type="colorScale" priority="7">
      <colorScale>
        <cfvo type="min"/>
        <cfvo type="percentile" val="50"/>
        <cfvo type="max"/>
        <color rgb="FF228B22"/>
        <color rgb="FFF5F5F5"/>
        <color rgb="FF98FB98"/>
      </colorScale>
    </cfRule>
  </conditionalFormatting>
  <conditionalFormatting sqref="P55:R58">
    <cfRule type="colorScale" priority="8">
      <colorScale>
        <cfvo type="min"/>
        <cfvo type="percentile" val="50"/>
        <cfvo type="max"/>
        <color rgb="FF228B22"/>
        <color rgb="FFF5F5F5"/>
        <color rgb="FF98FB98"/>
      </colorScale>
    </cfRule>
  </conditionalFormatting>
  <conditionalFormatting sqref="P60:R63">
    <cfRule type="colorScale" priority="9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J69:N78">
    <cfRule type="colorScale" priority="10">
      <colorScale>
        <cfvo type="min"/>
        <cfvo type="percentile" val="50"/>
        <cfvo type="max"/>
        <color rgb="FFFFA500"/>
        <color rgb="FFF5F5F5"/>
        <color rgb="FFFFFF00"/>
      </colorScale>
    </cfRule>
  </conditionalFormatting>
  <conditionalFormatting sqref="P69:R78">
    <cfRule type="colorScale" priority="11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P83:R92">
    <cfRule type="colorScale" priority="12">
      <colorScale>
        <cfvo type="min"/>
        <cfvo type="percentile" val="50"/>
        <cfvo type="max"/>
        <color rgb="FF228B22"/>
        <color rgb="FFF5F5F5"/>
        <color rgb="FF98FB98"/>
      </colorScale>
    </cfRule>
  </conditionalFormatting>
  <conditionalFormatting sqref="P94:R103">
    <cfRule type="colorScale" priority="13">
      <colorScale>
        <cfvo type="min"/>
        <cfvo type="percentile" val="50"/>
        <cfvo type="max"/>
        <color rgb="FF228B22"/>
        <color rgb="FFF5F5F5"/>
        <color rgb="FF98FB98"/>
      </colorScale>
    </cfRule>
  </conditionalFormatting>
  <conditionalFormatting sqref="P105:R114">
    <cfRule type="colorScale" priority="14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D120:N127">
    <cfRule type="colorScale" priority="15">
      <colorScale>
        <cfvo type="min"/>
        <cfvo type="percentile" val="50"/>
        <cfvo type="max"/>
        <color rgb="FFFFA500"/>
        <color rgb="FFF5F5F5"/>
        <color rgb="FFFFFF00"/>
      </colorScale>
    </cfRule>
  </conditionalFormatting>
  <conditionalFormatting sqref="P120:R127">
    <cfRule type="colorScale" priority="16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P132:R139">
    <cfRule type="colorScale" priority="17">
      <colorScale>
        <cfvo type="min"/>
        <cfvo type="percentile" val="50"/>
        <cfvo type="max"/>
        <color rgb="FF228B22"/>
        <color rgb="FFF5F5F5"/>
        <color rgb="FF98FB98"/>
      </colorScale>
    </cfRule>
  </conditionalFormatting>
  <conditionalFormatting sqref="P141:R148">
    <cfRule type="colorScale" priority="18">
      <colorScale>
        <cfvo type="min"/>
        <cfvo type="percentile" val="50"/>
        <cfvo type="max"/>
        <color rgb="FF228B22"/>
        <color rgb="FFF5F5F5"/>
        <color rgb="FF98FB98"/>
      </colorScale>
    </cfRule>
  </conditionalFormatting>
  <conditionalFormatting sqref="P150:R157">
    <cfRule type="colorScale" priority="19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P162:R169">
    <cfRule type="colorScale" priority="20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P174:R181">
    <cfRule type="colorScale" priority="21">
      <colorScale>
        <cfvo type="min"/>
        <cfvo type="percentile" val="50"/>
        <cfvo type="max"/>
        <color rgb="FF228B22"/>
        <color rgb="FFF5F5F5"/>
        <color rgb="FF98FB98"/>
      </colorScale>
    </cfRule>
  </conditionalFormatting>
  <conditionalFormatting sqref="P183:R190">
    <cfRule type="colorScale" priority="22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F196:N205">
    <cfRule type="colorScale" priority="23">
      <colorScale>
        <cfvo type="min"/>
        <cfvo type="percentile" val="50"/>
        <cfvo type="max"/>
        <color rgb="FFFFA500"/>
        <color rgb="FFF5F5F5"/>
        <color rgb="FFFFFF00"/>
      </colorScale>
    </cfRule>
  </conditionalFormatting>
  <conditionalFormatting sqref="P196:R205">
    <cfRule type="colorScale" priority="24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P210:R219">
    <cfRule type="colorScale" priority="25">
      <colorScale>
        <cfvo type="min"/>
        <cfvo type="percentile" val="50"/>
        <cfvo type="max"/>
        <color rgb="FF228B22"/>
        <color rgb="FFF5F5F5"/>
        <color rgb="FF98FB98"/>
      </colorScale>
    </cfRule>
  </conditionalFormatting>
  <conditionalFormatting sqref="P221:R230">
    <cfRule type="colorScale" priority="26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P235:R244">
    <cfRule type="colorScale" priority="27">
      <colorScale>
        <cfvo type="min"/>
        <cfvo type="percentile" val="50"/>
        <cfvo type="max"/>
        <color rgb="FF228B22"/>
        <color rgb="FFF5F5F5"/>
        <color rgb="FF98FB98"/>
      </colorScale>
    </cfRule>
  </conditionalFormatting>
  <conditionalFormatting sqref="P246:R246">
    <cfRule type="colorScale" priority="28">
      <colorScale>
        <cfvo type="min"/>
        <cfvo type="percentile" val="50"/>
        <cfvo type="max"/>
        <color rgb="FF228B22"/>
        <color rgb="FFF5F5F5"/>
        <color rgb="FF98FB98"/>
      </colorScale>
    </cfRule>
  </conditionalFormatting>
  <conditionalFormatting sqref="P248:R257">
    <cfRule type="colorScale" priority="29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P262:R271">
    <cfRule type="colorScale" priority="30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P273:R282">
    <cfRule type="colorScale" priority="31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P284:R284">
    <cfRule type="colorScale" priority="32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P286:Q286">
    <cfRule type="colorScale" priority="33">
      <colorScale>
        <cfvo type="min"/>
        <cfvo type="percentile" val="50"/>
        <cfvo type="max"/>
        <color rgb="FFFF0000"/>
        <color rgb="FFF5F5F5"/>
        <color rgb="FFFF0000"/>
      </colorScale>
    </cfRule>
  </conditionalFormatting>
  <conditionalFormatting sqref="AI235:AK244">
    <cfRule type="colorScale" priority="34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AE210:AG210">
    <cfRule type="colorScale" priority="35">
      <colorScale>
        <cfvo type="min"/>
        <cfvo type="percentile" val="50"/>
        <cfvo type="max"/>
        <color rgb="FFD3D3D3"/>
        <color rgb="FFF5F5F5"/>
        <color rgb="FFF5F5F5"/>
      </colorScale>
    </cfRule>
  </conditionalFormatting>
  <conditionalFormatting sqref="AI210:AK219">
    <cfRule type="colorScale" priority="36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AE196:AG205">
    <cfRule type="colorScale" priority="37">
      <colorScale>
        <cfvo type="min"/>
        <cfvo type="percentile" val="50"/>
        <cfvo type="max"/>
        <color rgb="FFD3D3D3"/>
        <color rgb="FFF5F5F5"/>
        <color rgb="FFF5F5F5"/>
      </colorScale>
    </cfRule>
  </conditionalFormatting>
  <conditionalFormatting sqref="AI196:AK205">
    <cfRule type="colorScale" priority="38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AM196:AU205">
    <cfRule type="colorScale" priority="39">
      <colorScale>
        <cfvo type="min"/>
        <cfvo type="percentile" val="50"/>
        <cfvo type="max"/>
        <color rgb="FFFFA500"/>
        <color rgb="FFF5F5F5"/>
        <color rgb="FFFFFF00"/>
      </colorScale>
    </cfRule>
  </conditionalFormatting>
  <conditionalFormatting sqref="AZ196:BH205">
    <cfRule type="colorScale" priority="40">
      <colorScale>
        <cfvo type="min"/>
        <cfvo type="percentile" val="50"/>
        <cfvo type="max"/>
        <color rgb="FFFFA500"/>
        <color rgb="FFF5F5F5"/>
        <color rgb="FFFFFF00"/>
      </colorScale>
    </cfRule>
  </conditionalFormatting>
  <conditionalFormatting sqref="X174:AG182">
    <cfRule type="colorScale" priority="41">
      <colorScale>
        <cfvo type="min"/>
        <cfvo type="percentile" val="50"/>
        <cfvo type="max"/>
        <color rgb="FFFFA500"/>
        <color rgb="FFF5F5F5"/>
        <color rgb="FFFFFF00"/>
      </colorScale>
    </cfRule>
  </conditionalFormatting>
  <conditionalFormatting sqref="AI174:AK181">
    <cfRule type="colorScale" priority="42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AE162:AG169">
    <cfRule type="colorScale" priority="43">
      <colorScale>
        <cfvo type="min"/>
        <cfvo type="percentile" val="50"/>
        <cfvo type="max"/>
        <color rgb="FFD3D3D3"/>
        <color rgb="FFF5F5F5"/>
        <color rgb="FFF5F5F5"/>
      </colorScale>
    </cfRule>
  </conditionalFormatting>
  <conditionalFormatting sqref="AI162:AK169">
    <cfRule type="colorScale" priority="44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AE132:AG139">
    <cfRule type="colorScale" priority="45">
      <colorScale>
        <cfvo type="min"/>
        <cfvo type="percentile" val="50"/>
        <cfvo type="max"/>
        <color rgb="FFD3D3D3"/>
        <color rgb="FFF5F5F5"/>
        <color rgb="FFF5F5F5"/>
      </colorScale>
    </cfRule>
  </conditionalFormatting>
  <conditionalFormatting sqref="AI132:AK139">
    <cfRule type="colorScale" priority="46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AE120:AG127">
    <cfRule type="colorScale" priority="47">
      <colorScale>
        <cfvo type="min"/>
        <cfvo type="percentile" val="50"/>
        <cfvo type="max"/>
        <color rgb="FFD3D3D3"/>
        <color rgb="FFF5F5F5"/>
        <color rgb="FFF5F5F5"/>
      </colorScale>
    </cfRule>
  </conditionalFormatting>
  <conditionalFormatting sqref="AI120:AK127">
    <cfRule type="colorScale" priority="48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AM120:AW127">
    <cfRule type="colorScale" priority="49">
      <colorScale>
        <cfvo type="min"/>
        <cfvo type="percentile" val="50"/>
        <cfvo type="max"/>
        <color rgb="FFFFA500"/>
        <color rgb="FFF5F5F5"/>
        <color rgb="FFFFFF00"/>
      </colorScale>
    </cfRule>
  </conditionalFormatting>
  <conditionalFormatting sqref="AZ120:BJ127">
    <cfRule type="colorScale" priority="50">
      <colorScale>
        <cfvo type="min"/>
        <cfvo type="percentile" val="50"/>
        <cfvo type="max"/>
        <color rgb="FFFFA500"/>
        <color rgb="FFF5F5F5"/>
        <color rgb="FFFFFF00"/>
      </colorScale>
    </cfRule>
  </conditionalFormatting>
  <conditionalFormatting sqref="Z83:AG93">
    <cfRule type="colorScale" priority="51">
      <colorScale>
        <cfvo type="min"/>
        <cfvo type="percentile" val="50"/>
        <cfvo type="max"/>
        <color rgb="FFFFA500"/>
        <color rgb="FFF5F5F5"/>
        <color rgb="FFFFFF00"/>
      </colorScale>
    </cfRule>
  </conditionalFormatting>
  <conditionalFormatting sqref="AI83:AK92">
    <cfRule type="colorScale" priority="52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AE69:AG78">
    <cfRule type="colorScale" priority="53">
      <colorScale>
        <cfvo type="min"/>
        <cfvo type="percentile" val="50"/>
        <cfvo type="max"/>
        <color rgb="FFD3D3D3"/>
        <color rgb="FFF5F5F5"/>
        <color rgb="FFF5F5F5"/>
      </colorScale>
    </cfRule>
  </conditionalFormatting>
  <conditionalFormatting sqref="AI69:AK78">
    <cfRule type="colorScale" priority="54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AM69:AQ78">
    <cfRule type="colorScale" priority="55">
      <colorScale>
        <cfvo type="min"/>
        <cfvo type="percentile" val="50"/>
        <cfvo type="max"/>
        <color rgb="FFFFA500"/>
        <color rgb="FFF5F5F5"/>
        <color rgb="FFFFFF00"/>
      </colorScale>
    </cfRule>
  </conditionalFormatting>
  <conditionalFormatting sqref="AZ69:BD78">
    <cfRule type="colorScale" priority="56">
      <colorScale>
        <cfvo type="min"/>
        <cfvo type="percentile" val="50"/>
        <cfvo type="max"/>
        <color rgb="FFFFA500"/>
        <color rgb="FFF5F5F5"/>
        <color rgb="FFFFFF00"/>
      </colorScale>
    </cfRule>
  </conditionalFormatting>
  <conditionalFormatting sqref="X50:AG54">
    <cfRule type="colorScale" priority="57">
      <colorScale>
        <cfvo type="min"/>
        <cfvo type="percentile" val="50"/>
        <cfvo type="max"/>
        <color rgb="FFFFA500"/>
        <color rgb="FFF5F5F5"/>
        <color rgb="FFFFFF00"/>
      </colorScale>
    </cfRule>
  </conditionalFormatting>
  <conditionalFormatting sqref="AI50:AK53">
    <cfRule type="colorScale" priority="58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AE37:AG40">
    <cfRule type="colorScale" priority="59">
      <colorScale>
        <cfvo type="min"/>
        <cfvo type="percentile" val="50"/>
        <cfvo type="max"/>
        <color rgb="FFD3D3D3"/>
        <color rgb="FFF5F5F5"/>
        <color rgb="FFF5F5F5"/>
      </colorScale>
    </cfRule>
  </conditionalFormatting>
  <conditionalFormatting sqref="AI37:AK40">
    <cfRule type="colorScale" priority="60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AE29:AG32">
    <cfRule type="colorScale" priority="61">
      <colorScale>
        <cfvo type="min"/>
        <cfvo type="percentile" val="50"/>
        <cfvo type="max"/>
        <color rgb="FFD3D3D3"/>
        <color rgb="FFF5F5F5"/>
        <color rgb="FFF5F5F5"/>
      </colorScale>
    </cfRule>
  </conditionalFormatting>
  <conditionalFormatting sqref="AI29:AK32">
    <cfRule type="colorScale" priority="62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AM29:AT32">
    <cfRule type="colorScale" priority="63">
      <colorScale>
        <cfvo type="min"/>
        <cfvo type="percentile" val="50"/>
        <cfvo type="max"/>
        <color rgb="FFFFA500"/>
        <color rgb="FFF5F5F5"/>
        <color rgb="FFFFFF00"/>
      </colorScale>
    </cfRule>
  </conditionalFormatting>
  <conditionalFormatting sqref="AZ29:BG32">
    <cfRule type="colorScale" priority="64">
      <colorScale>
        <cfvo type="min"/>
        <cfvo type="percentile" val="50"/>
        <cfvo type="max"/>
        <color rgb="FFFFA500"/>
        <color rgb="FFF5F5F5"/>
        <color rgb="FFFFFF00"/>
      </colorScale>
    </cfRule>
  </conditionalFormatting>
  <dataValidations count="1">
    <dataValidation type="list" allowBlank="1" showInputMessage="1" showErrorMessage="1" sqref="P15 Q15 R15" xr:uid="{B07493C8-604C-5747-9B20-12B7CACB1366}">
      <formula1>"0,1,2,3,4,5,6,7,8,9"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C397D-4E48-224D-98CF-8D0E84E6A6EA}">
  <sheetPr>
    <tabColor rgb="FF008000"/>
  </sheetPr>
  <dimension ref="A1:BJ287"/>
  <sheetViews>
    <sheetView showGridLines="0" showRowColHeader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5" sqref="J5"/>
    </sheetView>
  </sheetViews>
  <sheetFormatPr baseColWidth="10" defaultColWidth="3.33203125" defaultRowHeight="20" customHeight="1" x14ac:dyDescent="0.2"/>
  <cols>
    <col min="1" max="1" width="4.1640625" style="118" customWidth="1"/>
    <col min="2" max="16384" width="3.33203125" style="118"/>
  </cols>
  <sheetData>
    <row r="1" spans="1:62" ht="40" customHeight="1" x14ac:dyDescent="0.2">
      <c r="A1" s="159" t="str">
        <f>HYPERLINK("#Architect!A1", "⏎")</f>
        <v>⏎</v>
      </c>
      <c r="C1" s="63" t="s">
        <v>109</v>
      </c>
      <c r="K1" s="163" t="s">
        <v>162</v>
      </c>
    </row>
    <row r="2" spans="1:62" ht="25" customHeight="1" thickBot="1" x14ac:dyDescent="0.25">
      <c r="B2" s="193" t="s">
        <v>125</v>
      </c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V2" s="195" t="s">
        <v>127</v>
      </c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Z2" s="196" t="s">
        <v>143</v>
      </c>
      <c r="BA2" s="196"/>
      <c r="BB2" s="196"/>
      <c r="BC2" s="196"/>
      <c r="BD2" s="196"/>
      <c r="BE2" s="196"/>
      <c r="BF2" s="196"/>
      <c r="BG2" s="196"/>
      <c r="BH2" s="196"/>
      <c r="BI2" s="196"/>
      <c r="BJ2" s="196"/>
    </row>
    <row r="3" spans="1:62" ht="20" customHeight="1" thickTop="1" x14ac:dyDescent="0.2"/>
    <row r="4" spans="1:62" ht="20" customHeight="1" x14ac:dyDescent="0.2">
      <c r="P4" s="117" t="s">
        <v>110</v>
      </c>
    </row>
    <row r="5" spans="1:62" ht="20" customHeight="1" x14ac:dyDescent="0.2">
      <c r="P5" s="119">
        <v>-0.44880335917696357</v>
      </c>
      <c r="Q5" s="119">
        <v>6.0701910406351089E-2</v>
      </c>
      <c r="R5" s="119">
        <v>0.31955507723614573</v>
      </c>
    </row>
    <row r="6" spans="1:62" ht="20" customHeight="1" x14ac:dyDescent="0.2">
      <c r="P6" s="120">
        <v>-0.11292755883187056</v>
      </c>
      <c r="Q6" s="120">
        <v>-0.27272867364808917</v>
      </c>
      <c r="R6" s="120">
        <v>0.77663186006247997</v>
      </c>
    </row>
    <row r="7" spans="1:62" ht="20" customHeight="1" x14ac:dyDescent="0.2">
      <c r="P7" s="120">
        <v>-0.38099355483427644</v>
      </c>
      <c r="Q7" s="120">
        <v>-0.82472457829862833</v>
      </c>
      <c r="R7" s="120">
        <v>-0.20655657863244414</v>
      </c>
    </row>
    <row r="8" spans="1:62" ht="20" customHeight="1" x14ac:dyDescent="0.2">
      <c r="P8" s="120">
        <v>-0.11691222339868546</v>
      </c>
      <c r="Q8" s="120">
        <v>-0.84651675121858716</v>
      </c>
      <c r="R8" s="120">
        <v>0.17681382689625025</v>
      </c>
    </row>
    <row r="9" spans="1:62" ht="20" customHeight="1" x14ac:dyDescent="0.2">
      <c r="P9" s="120">
        <v>-0.49264957336708903</v>
      </c>
      <c r="Q9" s="120">
        <v>0.9410270918160677</v>
      </c>
      <c r="R9" s="120">
        <v>-0.40785891423001885</v>
      </c>
    </row>
    <row r="10" spans="1:62" ht="20" customHeight="1" x14ac:dyDescent="0.2">
      <c r="P10" s="120">
        <v>-0.88707277644425631</v>
      </c>
      <c r="Q10" s="120">
        <v>-0.34107493003830314</v>
      </c>
      <c r="R10" s="120">
        <v>0.72421393916010857</v>
      </c>
    </row>
    <row r="11" spans="1:62" ht="20" customHeight="1" x14ac:dyDescent="0.2">
      <c r="P11" s="121">
        <v>0.67921642540022731</v>
      </c>
      <c r="Q11" s="121">
        <v>-0.80737474095076323</v>
      </c>
      <c r="R11" s="121">
        <v>-0.9685451234690845</v>
      </c>
    </row>
    <row r="12" spans="1:62" ht="20" customHeight="1" x14ac:dyDescent="0.2">
      <c r="P12" s="118">
        <v>1</v>
      </c>
      <c r="Q12" s="118">
        <v>1</v>
      </c>
      <c r="R12" s="118">
        <v>1</v>
      </c>
    </row>
    <row r="14" spans="1:62" ht="20" customHeight="1" x14ac:dyDescent="0.2">
      <c r="P14" s="117" t="s">
        <v>194</v>
      </c>
    </row>
    <row r="15" spans="1:62" ht="20" customHeight="1" x14ac:dyDescent="0.2">
      <c r="O15" s="122" t="s">
        <v>111</v>
      </c>
      <c r="P15" s="123">
        <v>5</v>
      </c>
      <c r="Q15" s="123">
        <v>8</v>
      </c>
      <c r="R15" s="123">
        <v>8</v>
      </c>
    </row>
    <row r="16" spans="1:62" ht="20" customHeight="1" x14ac:dyDescent="0.2">
      <c r="P16" s="119" cm="1">
        <f t="array" ref="P16:P25">TRANSPOSE(--(_xlfn.SEQUENCE(1, 10) = 1+P15))</f>
        <v>0</v>
      </c>
      <c r="Q16" s="119" cm="1">
        <f t="array" ref="Q16:Q25">TRANSPOSE(--(_xlfn.SEQUENCE(1, 10) = 1+Q15))</f>
        <v>0</v>
      </c>
      <c r="R16" s="119" cm="1">
        <f t="array" ref="R16:R25">TRANSPOSE(--(_xlfn.SEQUENCE(1, 10) = 1+R15))</f>
        <v>0</v>
      </c>
    </row>
    <row r="17" spans="1:59" ht="20" customHeight="1" x14ac:dyDescent="0.2">
      <c r="P17" s="120">
        <v>0</v>
      </c>
      <c r="Q17" s="120">
        <v>0</v>
      </c>
      <c r="R17" s="120">
        <v>0</v>
      </c>
    </row>
    <row r="18" spans="1:59" ht="20" customHeight="1" x14ac:dyDescent="0.2">
      <c r="P18" s="120">
        <v>0</v>
      </c>
      <c r="Q18" s="120">
        <v>0</v>
      </c>
      <c r="R18" s="120">
        <v>0</v>
      </c>
    </row>
    <row r="19" spans="1:59" ht="20" customHeight="1" x14ac:dyDescent="0.2">
      <c r="P19" s="120">
        <v>0</v>
      </c>
      <c r="Q19" s="120">
        <v>0</v>
      </c>
      <c r="R19" s="120">
        <v>0</v>
      </c>
    </row>
    <row r="20" spans="1:59" ht="20" customHeight="1" x14ac:dyDescent="0.2">
      <c r="P20" s="120">
        <v>0</v>
      </c>
      <c r="Q20" s="120">
        <v>0</v>
      </c>
      <c r="R20" s="120">
        <v>0</v>
      </c>
    </row>
    <row r="21" spans="1:59" ht="20" customHeight="1" x14ac:dyDescent="0.2">
      <c r="P21" s="120">
        <v>1</v>
      </c>
      <c r="Q21" s="120">
        <v>0</v>
      </c>
      <c r="R21" s="120">
        <v>0</v>
      </c>
    </row>
    <row r="22" spans="1:59" ht="20" customHeight="1" x14ac:dyDescent="0.2">
      <c r="P22" s="120">
        <v>0</v>
      </c>
      <c r="Q22" s="120">
        <v>0</v>
      </c>
      <c r="R22" s="120">
        <v>0</v>
      </c>
    </row>
    <row r="23" spans="1:59" ht="20" customHeight="1" x14ac:dyDescent="0.2">
      <c r="P23" s="120">
        <v>0</v>
      </c>
      <c r="Q23" s="120">
        <v>0</v>
      </c>
      <c r="R23" s="120">
        <v>0</v>
      </c>
    </row>
    <row r="24" spans="1:59" ht="20" customHeight="1" x14ac:dyDescent="0.2">
      <c r="P24" s="120">
        <v>0</v>
      </c>
      <c r="Q24" s="120">
        <v>1</v>
      </c>
      <c r="R24" s="120">
        <v>1</v>
      </c>
    </row>
    <row r="25" spans="1:59" ht="20" customHeight="1" x14ac:dyDescent="0.2">
      <c r="P25" s="121">
        <v>0</v>
      </c>
      <c r="Q25" s="121">
        <v>0</v>
      </c>
      <c r="R25" s="121">
        <v>0</v>
      </c>
      <c r="AZ25" s="124" t="s">
        <v>126</v>
      </c>
      <c r="BA25" s="194">
        <f>Blueprint!lrate</f>
        <v>0.1</v>
      </c>
      <c r="BB25" s="194"/>
      <c r="BC25" s="194"/>
    </row>
    <row r="27" spans="1:59" ht="20" customHeight="1" x14ac:dyDescent="0.2">
      <c r="A27" s="198" t="s">
        <v>116</v>
      </c>
      <c r="B27" s="130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1" t="s">
        <v>114</v>
      </c>
      <c r="Q27" s="130"/>
      <c r="R27" s="130"/>
      <c r="S27" s="130"/>
      <c r="T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  <c r="AG27" s="130"/>
      <c r="AH27" s="130"/>
      <c r="AI27" s="131" t="s">
        <v>138</v>
      </c>
      <c r="AJ27" s="130"/>
      <c r="AK27" s="130"/>
      <c r="AL27" s="130"/>
      <c r="AM27" s="130"/>
      <c r="AN27" s="130"/>
      <c r="AO27" s="130"/>
      <c r="AP27" s="130"/>
      <c r="AQ27" s="130"/>
      <c r="AR27" s="130"/>
      <c r="AS27" s="130"/>
      <c r="AT27" s="131" t="s">
        <v>139</v>
      </c>
      <c r="AU27" s="130"/>
      <c r="AV27" s="130"/>
      <c r="AW27" s="130"/>
      <c r="AX27" s="130"/>
      <c r="AZ27" s="117" t="s">
        <v>141</v>
      </c>
    </row>
    <row r="28" spans="1:59" ht="20" customHeight="1" x14ac:dyDescent="0.2">
      <c r="A28" s="198"/>
      <c r="B28" s="130"/>
      <c r="C28" s="130"/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2" t="s">
        <v>112</v>
      </c>
      <c r="O28" s="130"/>
      <c r="P28" s="133" t="s">
        <v>115</v>
      </c>
      <c r="Q28" s="130"/>
      <c r="R28" s="130"/>
      <c r="S28" s="130"/>
      <c r="T28" s="130"/>
      <c r="V28" s="130"/>
      <c r="W28" s="130"/>
      <c r="X28" s="130"/>
      <c r="Y28" s="130"/>
      <c r="Z28" s="130"/>
      <c r="AA28" s="130"/>
      <c r="AB28" s="130"/>
      <c r="AC28" s="130"/>
      <c r="AD28" s="130"/>
      <c r="AE28" s="130"/>
      <c r="AF28" s="130"/>
      <c r="AG28" s="162" t="s">
        <v>302</v>
      </c>
      <c r="AH28" s="130"/>
      <c r="AI28" s="133" t="s">
        <v>215</v>
      </c>
      <c r="AJ28" s="130"/>
      <c r="AK28" s="130"/>
      <c r="AL28" s="130"/>
      <c r="AM28" s="130"/>
      <c r="AN28" s="130"/>
      <c r="AO28" s="130"/>
      <c r="AP28" s="130"/>
      <c r="AQ28" s="130"/>
      <c r="AR28" s="130"/>
      <c r="AS28" s="130"/>
      <c r="AT28" s="162" t="s">
        <v>140</v>
      </c>
      <c r="AU28" s="130"/>
      <c r="AV28" s="130"/>
      <c r="AW28" s="130"/>
      <c r="AX28" s="130"/>
      <c r="AZ28" s="129" t="s">
        <v>142</v>
      </c>
    </row>
    <row r="29" spans="1:59" ht="20" customHeight="1" x14ac:dyDescent="0.2">
      <c r="A29" s="198"/>
      <c r="B29" s="130"/>
      <c r="C29" s="130"/>
      <c r="D29" s="130"/>
      <c r="E29" s="130"/>
      <c r="F29" s="130"/>
      <c r="G29" s="134" cm="1">
        <f t="array" ref="G29:N32">Blueprint!newW_0</f>
        <v>-0.49008893942393444</v>
      </c>
      <c r="H29" s="135">
        <v>-0.8210228760248871</v>
      </c>
      <c r="I29" s="135">
        <v>0.16340067287852517</v>
      </c>
      <c r="J29" s="135">
        <v>-0.54921817928763184</v>
      </c>
      <c r="K29" s="135">
        <v>-0.24729539468289061</v>
      </c>
      <c r="L29" s="135">
        <v>-0.93604888697978295</v>
      </c>
      <c r="M29" s="135">
        <v>-0.10973652098987373</v>
      </c>
      <c r="N29" s="136">
        <v>-0.78046592119089997</v>
      </c>
      <c r="O29" s="137" t="s">
        <v>113</v>
      </c>
      <c r="P29" s="138" cm="1">
        <f t="array" ref="P29:R32">MMULT(Blueprint_ep1!G29:N32,Blueprint_ep1!P5:R12)</f>
        <v>0.41179807372612687</v>
      </c>
      <c r="Q29" s="138">
        <v>-8.0987300494497205E-2</v>
      </c>
      <c r="R29" s="138">
        <v>-2.1763229537044264</v>
      </c>
      <c r="S29" s="130"/>
      <c r="T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8" cm="1">
        <f t="array" ref="AE29:AG32">0.5*erf_1 + 0.399*X_1* EXP(-0.5*X_1^2)</f>
        <v>0.76423127554424242</v>
      </c>
      <c r="AF29" s="138">
        <v>0.45262279819386736</v>
      </c>
      <c r="AG29" s="138">
        <v>1.9504621534464067E-3</v>
      </c>
      <c r="AH29" s="137" t="s">
        <v>113</v>
      </c>
      <c r="AI29" s="138" cm="1">
        <f t="array" ref="AI29:AK32">G_1* MaskGELU_1</f>
        <v>-6.5433467087222218E-3</v>
      </c>
      <c r="AJ29" s="138">
        <v>4.8815857202712885E-2</v>
      </c>
      <c r="AK29" s="138">
        <v>1.5799029738502353E-4</v>
      </c>
      <c r="AL29" s="137" t="s">
        <v>113</v>
      </c>
      <c r="AM29" s="134" cm="1">
        <f t="array" ref="AM29:AT32">MMULT(G_0, TRANSPOSE(X))</f>
        <v>5.9503783751458008E-3</v>
      </c>
      <c r="AN29" s="135">
        <v>-1.2451859518953895E-2</v>
      </c>
      <c r="AO29" s="135">
        <v>-3.7799298258009172E-2</v>
      </c>
      <c r="AP29" s="135">
        <v>-4.0530508765912673E-2</v>
      </c>
      <c r="AQ29" s="135">
        <v>4.9096183351271958E-2</v>
      </c>
      <c r="AR29" s="135">
        <v>-1.0731021572413199E-2</v>
      </c>
      <c r="AS29" s="135">
        <v>-4.4010059357070107E-2</v>
      </c>
      <c r="AT29" s="136">
        <v>4.243050079137569E-2</v>
      </c>
      <c r="AU29" s="130"/>
      <c r="AV29" s="130"/>
      <c r="AW29" s="130"/>
      <c r="AX29" s="130"/>
      <c r="AY29" s="128" t="s">
        <v>113</v>
      </c>
      <c r="AZ29" s="125" cm="1">
        <f t="array" ref="AZ29:BG32">W_0 - lrate * dW_0</f>
        <v>-0.49068397726144902</v>
      </c>
      <c r="BA29" s="126">
        <v>-0.81977769007299173</v>
      </c>
      <c r="BB29" s="126">
        <v>0.16718060270432608</v>
      </c>
      <c r="BC29" s="126">
        <v>-0.54516512841104059</v>
      </c>
      <c r="BD29" s="126">
        <v>-0.25220501301801779</v>
      </c>
      <c r="BE29" s="126">
        <v>-0.93497578482254162</v>
      </c>
      <c r="BF29" s="126">
        <v>-0.10533551505416672</v>
      </c>
      <c r="BG29" s="127">
        <v>-0.78470897127003758</v>
      </c>
    </row>
    <row r="30" spans="1:59" ht="20" customHeight="1" x14ac:dyDescent="0.2">
      <c r="A30" s="198"/>
      <c r="B30" s="130"/>
      <c r="C30" s="130"/>
      <c r="D30" s="130"/>
      <c r="E30" s="130"/>
      <c r="F30" s="130"/>
      <c r="G30" s="134">
        <v>0.73590079114347828</v>
      </c>
      <c r="H30" s="135">
        <v>0.96083345718356861</v>
      </c>
      <c r="I30" s="135">
        <v>0.71423503602071814</v>
      </c>
      <c r="J30" s="135">
        <v>-6.9007925115621141E-3</v>
      </c>
      <c r="K30" s="135">
        <v>0.29874492381220508</v>
      </c>
      <c r="L30" s="135">
        <v>0.69646047895672392</v>
      </c>
      <c r="M30" s="135">
        <v>0.22868774142664472</v>
      </c>
      <c r="N30" s="136">
        <v>-0.85554199845535028</v>
      </c>
      <c r="O30" s="137" t="s">
        <v>113</v>
      </c>
      <c r="P30" s="139">
        <v>-2.1752927004190834</v>
      </c>
      <c r="Q30" s="139">
        <v>-1.797178649646098</v>
      </c>
      <c r="R30" s="139">
        <v>0.13812881976780989</v>
      </c>
      <c r="S30" s="130"/>
      <c r="T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9">
        <v>1.9616631101912248E-3</v>
      </c>
      <c r="AF30" s="139">
        <v>1.0283457763379383E-2</v>
      </c>
      <c r="AG30" s="139">
        <v>0.58542509537416976</v>
      </c>
      <c r="AH30" s="137" t="s">
        <v>113</v>
      </c>
      <c r="AI30" s="139">
        <v>8.3532506777375292E-6</v>
      </c>
      <c r="AJ30" s="139">
        <v>2.7169187658688402E-3</v>
      </c>
      <c r="AK30" s="139">
        <v>0.16858652560902865</v>
      </c>
      <c r="AL30" s="137" t="s">
        <v>113</v>
      </c>
      <c r="AM30" s="134">
        <v>5.4033853404509502E-2</v>
      </c>
      <c r="AN30" s="135">
        <v>0.13018774200157845</v>
      </c>
      <c r="AO30" s="135">
        <v>-3.7066548151454826E-2</v>
      </c>
      <c r="AP30" s="135">
        <v>2.7507534911957607E-2</v>
      </c>
      <c r="AQ30" s="135">
        <v>-6.6206938349146247E-2</v>
      </c>
      <c r="AR30" s="135">
        <v>0.12115862898137165</v>
      </c>
      <c r="AS30" s="135">
        <v>-0.16547155518093246</v>
      </c>
      <c r="AT30" s="136">
        <v>0.17131179762557522</v>
      </c>
      <c r="AU30" s="130"/>
      <c r="AV30" s="130"/>
      <c r="AW30" s="130"/>
      <c r="AX30" s="130"/>
      <c r="AY30" s="128" t="s">
        <v>113</v>
      </c>
      <c r="AZ30" s="125">
        <v>0.73049740580302736</v>
      </c>
      <c r="BA30" s="126">
        <v>0.94781468298341076</v>
      </c>
      <c r="BB30" s="126">
        <v>0.71794169083586357</v>
      </c>
      <c r="BC30" s="126">
        <v>-9.6515460027578742E-3</v>
      </c>
      <c r="BD30" s="126">
        <v>0.30536561764711972</v>
      </c>
      <c r="BE30" s="126">
        <v>0.68434461605858676</v>
      </c>
      <c r="BF30" s="126">
        <v>0.24523489694473796</v>
      </c>
      <c r="BG30" s="127">
        <v>-0.8726731782179078</v>
      </c>
    </row>
    <row r="31" spans="1:59" ht="20" customHeight="1" x14ac:dyDescent="0.2">
      <c r="A31" s="198"/>
      <c r="B31" s="130"/>
      <c r="C31" s="130"/>
      <c r="D31" s="130"/>
      <c r="E31" s="130"/>
      <c r="F31" s="130"/>
      <c r="G31" s="134">
        <v>-0.72022904710273328</v>
      </c>
      <c r="H31" s="135">
        <v>0.90782428269859206</v>
      </c>
      <c r="I31" s="135">
        <v>0.84292943531625131</v>
      </c>
      <c r="J31" s="135">
        <v>0.77961159535469038</v>
      </c>
      <c r="K31" s="135">
        <v>9.1934602984704142E-2</v>
      </c>
      <c r="L31" s="135">
        <v>-0.63931633996578663</v>
      </c>
      <c r="M31" s="135">
        <v>9.5481785807833619E-2</v>
      </c>
      <c r="N31" s="136">
        <v>-0.46095050284064687</v>
      </c>
      <c r="O31" s="137" t="s">
        <v>113</v>
      </c>
      <c r="P31" s="139">
        <v>-6.5843099224693558E-2</v>
      </c>
      <c r="Q31" s="139">
        <v>-1.8799202465165128</v>
      </c>
      <c r="R31" s="139">
        <v>-0.61530117116718319</v>
      </c>
      <c r="S31" s="130"/>
      <c r="T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9">
        <v>0.4613113147439023</v>
      </c>
      <c r="AF31" s="139">
        <v>7.5481894267317995E-3</v>
      </c>
      <c r="AG31" s="139">
        <v>0.20399357301069487</v>
      </c>
      <c r="AH31" s="137" t="s">
        <v>113</v>
      </c>
      <c r="AI31" s="139">
        <v>1.8310616856870139E-2</v>
      </c>
      <c r="AJ31" s="139">
        <v>-3.3916766587062035E-3</v>
      </c>
      <c r="AK31" s="139">
        <v>-6.3040414283850599E-2</v>
      </c>
      <c r="AL31" s="137" t="s">
        <v>113</v>
      </c>
      <c r="AM31" s="134">
        <v>-2.8568632062104252E-2</v>
      </c>
      <c r="AN31" s="135">
        <v>-5.0101959990156139E-2</v>
      </c>
      <c r="AO31" s="135">
        <v>8.8423843846134349E-3</v>
      </c>
      <c r="AP31" s="135">
        <v>-1.0416040720878912E-2</v>
      </c>
      <c r="AQ31" s="135">
        <v>1.3499217717273837E-2</v>
      </c>
      <c r="AR31" s="135">
        <v>-6.074078060934264E-2</v>
      </c>
      <c r="AS31" s="135">
        <v>7.6232711628202471E-2</v>
      </c>
      <c r="AT31" s="136">
        <v>-4.8121474085686664E-2</v>
      </c>
      <c r="AU31" s="130"/>
      <c r="AV31" s="130"/>
      <c r="AW31" s="130"/>
      <c r="AX31" s="130"/>
      <c r="AY31" s="128" t="s">
        <v>113</v>
      </c>
      <c r="AZ31" s="125">
        <v>-0.7173721838965228</v>
      </c>
      <c r="BA31" s="126">
        <v>0.9128344786976077</v>
      </c>
      <c r="BB31" s="126">
        <v>0.84204519687779</v>
      </c>
      <c r="BC31" s="126">
        <v>0.78065319942677824</v>
      </c>
      <c r="BD31" s="126">
        <v>9.0584681212976761E-2</v>
      </c>
      <c r="BE31" s="126">
        <v>-0.63324226190485233</v>
      </c>
      <c r="BF31" s="126">
        <v>8.7858514645013375E-2</v>
      </c>
      <c r="BG31" s="127">
        <v>-0.4561383554320782</v>
      </c>
    </row>
    <row r="32" spans="1:59" ht="20" customHeight="1" x14ac:dyDescent="0.2">
      <c r="A32" s="198"/>
      <c r="B32" s="130"/>
      <c r="C32" s="130"/>
      <c r="D32" s="130"/>
      <c r="E32" s="130"/>
      <c r="F32" s="130"/>
      <c r="G32" s="134">
        <v>0.88477866244999115</v>
      </c>
      <c r="H32" s="135">
        <v>0.64307287798737467</v>
      </c>
      <c r="I32" s="135">
        <v>-0.68787120437273552</v>
      </c>
      <c r="J32" s="135">
        <v>0.66083366264984411</v>
      </c>
      <c r="K32" s="135">
        <v>-6.9852865544358836E-2</v>
      </c>
      <c r="L32" s="135">
        <v>-0.88021195668029606</v>
      </c>
      <c r="M32" s="135">
        <v>-0.95054652437561604</v>
      </c>
      <c r="N32" s="136">
        <v>7.3624402737635597E-2</v>
      </c>
      <c r="O32" s="137" t="s">
        <v>113</v>
      </c>
      <c r="P32" s="140">
        <v>-4.1674684517404526E-2</v>
      </c>
      <c r="Q32" s="140">
        <v>0.96177731501521246</v>
      </c>
      <c r="R32" s="140">
        <v>1.4263951995588025</v>
      </c>
      <c r="S32" s="130"/>
      <c r="T32" s="141" t="str">
        <f>HYPERLINK("#Blueprint!torchcode", "&lt;/&gt;")</f>
        <v>&lt;/&gt;</v>
      </c>
      <c r="V32" s="141" t="str">
        <f>HYPERLINK("#Blueprint!torchcode", "&lt;/&gt;")</f>
        <v>&lt;/&gt;</v>
      </c>
      <c r="W32" s="130"/>
      <c r="X32" s="130"/>
      <c r="Y32" s="130"/>
      <c r="Z32" s="130"/>
      <c r="AA32" s="130"/>
      <c r="AB32" s="130"/>
      <c r="AC32" s="130"/>
      <c r="AD32" s="130"/>
      <c r="AE32" s="140">
        <v>0.47534292578843851</v>
      </c>
      <c r="AF32" s="140">
        <v>1.063718659393367</v>
      </c>
      <c r="AG32" s="140">
        <v>1.143914479580459</v>
      </c>
      <c r="AH32" s="137" t="s">
        <v>113</v>
      </c>
      <c r="AI32" s="140">
        <v>1.4523590917447132E-2</v>
      </c>
      <c r="AJ32" s="140">
        <v>-2.5369962607835448E-2</v>
      </c>
      <c r="AK32" s="140">
        <v>1.3487766523829039E-2</v>
      </c>
      <c r="AL32" s="137" t="s">
        <v>113</v>
      </c>
      <c r="AM32" s="134">
        <v>-3.7481573150303267E-3</v>
      </c>
      <c r="AN32" s="135">
        <v>1.5754031788246345E-2</v>
      </c>
      <c r="AO32" s="135">
        <v>1.2603850274046726E-2</v>
      </c>
      <c r="AP32" s="135">
        <v>2.2162936634791547E-2</v>
      </c>
      <c r="AQ32" s="135">
        <v>-3.6529968811369141E-2</v>
      </c>
      <c r="AR32" s="135">
        <v>5.5376046271555044E-3</v>
      </c>
      <c r="AS32" s="135">
        <v>1.7284218002211162E-2</v>
      </c>
      <c r="AT32" s="136">
        <v>2.6413948334407227E-3</v>
      </c>
      <c r="AU32" s="130"/>
      <c r="AV32" s="130"/>
      <c r="AW32" s="130"/>
      <c r="AX32" s="130"/>
      <c r="AY32" s="128" t="s">
        <v>113</v>
      </c>
      <c r="AZ32" s="125">
        <v>0.88515347818149415</v>
      </c>
      <c r="BA32" s="126">
        <v>0.64149747480855002</v>
      </c>
      <c r="BB32" s="126">
        <v>-0.68913158940014019</v>
      </c>
      <c r="BC32" s="126">
        <v>0.65861736898636491</v>
      </c>
      <c r="BD32" s="126">
        <v>-6.6199868663221917E-2</v>
      </c>
      <c r="BE32" s="126">
        <v>-0.88076571714301166</v>
      </c>
      <c r="BF32" s="126">
        <v>-0.95227494617583719</v>
      </c>
      <c r="BG32" s="127">
        <v>7.3360263254291527E-2</v>
      </c>
    </row>
    <row r="33" spans="1:50" ht="20" customHeight="1" x14ac:dyDescent="0.2">
      <c r="A33" s="198"/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42" t="str">
        <f>HYPERLINK("#X", "▲")</f>
        <v>▲</v>
      </c>
      <c r="V33" s="142" t="str">
        <f>HYPERLINK("#X", "▲")</f>
        <v>▲</v>
      </c>
      <c r="W33" s="130"/>
      <c r="X33" s="130"/>
      <c r="Y33" s="130"/>
      <c r="Z33" s="130"/>
      <c r="AA33" s="130"/>
      <c r="AB33" s="130"/>
      <c r="AC33" s="130"/>
      <c r="AD33" s="130"/>
      <c r="AE33" s="130"/>
      <c r="AF33" s="130"/>
      <c r="AG33" s="130"/>
      <c r="AH33" s="130"/>
      <c r="AI33" s="130"/>
      <c r="AJ33" s="130"/>
      <c r="AK33" s="130"/>
      <c r="AL33" s="130"/>
      <c r="AM33" s="130"/>
      <c r="AN33" s="130"/>
      <c r="AO33" s="130"/>
      <c r="AP33" s="130"/>
      <c r="AQ33" s="130"/>
      <c r="AR33" s="130"/>
      <c r="AS33" s="130"/>
      <c r="AT33" s="130"/>
      <c r="AU33" s="130"/>
      <c r="AV33" s="130"/>
      <c r="AW33" s="130"/>
      <c r="AX33" s="130"/>
    </row>
    <row r="34" spans="1:50" ht="20" customHeight="1" x14ac:dyDescent="0.2">
      <c r="P34" s="143" t="s">
        <v>117</v>
      </c>
      <c r="Q34" s="143" t="s">
        <v>117</v>
      </c>
      <c r="R34" s="143" t="s">
        <v>117</v>
      </c>
      <c r="AI34" s="160" t="s">
        <v>128</v>
      </c>
      <c r="AJ34" s="160" t="s">
        <v>128</v>
      </c>
      <c r="AK34" s="160" t="s">
        <v>128</v>
      </c>
    </row>
    <row r="35" spans="1:50" ht="20" customHeight="1" x14ac:dyDescent="0.2">
      <c r="A35" s="199" t="s">
        <v>244</v>
      </c>
      <c r="B35" s="123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P35" s="144" t="s">
        <v>241</v>
      </c>
      <c r="Q35" s="123"/>
      <c r="R35" s="123"/>
      <c r="S35" s="123"/>
      <c r="T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44" t="s">
        <v>137</v>
      </c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</row>
    <row r="36" spans="1:50" ht="20" customHeight="1" x14ac:dyDescent="0.2">
      <c r="A36" s="199"/>
      <c r="B36" s="123"/>
      <c r="C36" s="123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45" t="s">
        <v>242</v>
      </c>
      <c r="Q36" s="123"/>
      <c r="R36" s="123"/>
      <c r="S36" s="123"/>
      <c r="T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61" t="s">
        <v>300</v>
      </c>
      <c r="AH36" s="123"/>
      <c r="AI36" s="145" t="s">
        <v>301</v>
      </c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</row>
    <row r="37" spans="1:50" ht="20" customHeight="1" x14ac:dyDescent="0.2">
      <c r="A37" s="199"/>
      <c r="B37" s="123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146" cm="1">
        <f t="array" ref="P37:R40">1+ERF(Blueprint_ep1!P29:R32/SQRT(2))</f>
        <v>1.3195125666148793</v>
      </c>
      <c r="Q37" s="146">
        <v>0.93545205206469439</v>
      </c>
      <c r="R37" s="146">
        <v>2.9531120364030494E-2</v>
      </c>
      <c r="S37" s="123"/>
      <c r="T37" s="123"/>
      <c r="V37" s="123"/>
      <c r="W37" s="123"/>
      <c r="X37" s="123"/>
      <c r="Y37" s="123"/>
      <c r="Z37" s="123"/>
      <c r="AA37" s="123"/>
      <c r="AB37" s="123"/>
      <c r="AC37" s="123"/>
      <c r="AD37" s="123"/>
      <c r="AE37" s="146" cm="1">
        <f t="array" ref="AE37:AG40">_xlfn.DROP(1-(X_2*X_2),-1)</f>
        <v>0.92967251146450336</v>
      </c>
      <c r="AF37" s="146">
        <v>0.99856648706398266</v>
      </c>
      <c r="AG37" s="146">
        <v>0.99896807618561234</v>
      </c>
      <c r="AH37" s="156" t="s">
        <v>113</v>
      </c>
      <c r="AI37" s="146" cm="1">
        <f t="array" ref="AI37:AK40">G_2*MaskTanh_2</f>
        <v>-8.5619980732434941E-3</v>
      </c>
      <c r="AJ37" s="146">
        <v>0.10785107908286158</v>
      </c>
      <c r="AK37" s="146">
        <v>8.1001467834615259E-2</v>
      </c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</row>
    <row r="38" spans="1:50" ht="20" customHeight="1" x14ac:dyDescent="0.2">
      <c r="A38" s="199"/>
      <c r="B38" s="123"/>
      <c r="C38" s="123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47">
        <v>2.9608189194244128E-2</v>
      </c>
      <c r="Q38" s="147">
        <v>7.2307262864443222E-2</v>
      </c>
      <c r="R38" s="147">
        <v>1.1098613907934189</v>
      </c>
      <c r="S38" s="123"/>
      <c r="T38" s="123"/>
      <c r="V38" s="123"/>
      <c r="W38" s="123"/>
      <c r="X38" s="123"/>
      <c r="Y38" s="123"/>
      <c r="Z38" s="123"/>
      <c r="AA38" s="123"/>
      <c r="AB38" s="123"/>
      <c r="AC38" s="123"/>
      <c r="AD38" s="123"/>
      <c r="AE38" s="147">
        <v>0.9989636679622319</v>
      </c>
      <c r="AF38" s="147">
        <v>0.9957901632803976</v>
      </c>
      <c r="AG38" s="147">
        <v>0.99414742092844355</v>
      </c>
      <c r="AH38" s="156" t="s">
        <v>113</v>
      </c>
      <c r="AI38" s="147">
        <v>4.2582493570586877E-3</v>
      </c>
      <c r="AJ38" s="147">
        <v>0.26420284192191767</v>
      </c>
      <c r="AK38" s="147">
        <v>0.28797283707367877</v>
      </c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</row>
    <row r="39" spans="1:50" ht="20" customHeight="1" x14ac:dyDescent="0.2">
      <c r="A39" s="199"/>
      <c r="B39" s="123"/>
      <c r="C39" s="123"/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47">
        <v>0.94750274244433186</v>
      </c>
      <c r="Q39" s="147">
        <v>6.0118948110834625E-2</v>
      </c>
      <c r="R39" s="147">
        <v>0.53835584427188432</v>
      </c>
      <c r="S39" s="123"/>
      <c r="T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47">
        <v>0.99902761145142249</v>
      </c>
      <c r="AF39" s="147">
        <v>0.99681347203111359</v>
      </c>
      <c r="AG39" s="147">
        <v>0.97306217770178527</v>
      </c>
      <c r="AH39" s="156" t="s">
        <v>113</v>
      </c>
      <c r="AI39" s="147">
        <v>3.9692537927527978E-2</v>
      </c>
      <c r="AJ39" s="147">
        <v>-0.44933645235433961</v>
      </c>
      <c r="AK39" s="147">
        <v>-0.30903137463328589</v>
      </c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</row>
    <row r="40" spans="1:50" ht="20" customHeight="1" x14ac:dyDescent="0.2">
      <c r="A40" s="199"/>
      <c r="B40" s="123"/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48">
        <v>0.96675803525184545</v>
      </c>
      <c r="Q40" s="148">
        <v>1.6638385244515395</v>
      </c>
      <c r="R40" s="148">
        <v>1.8462457014151301</v>
      </c>
      <c r="S40" s="123"/>
      <c r="T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48">
        <v>0.99959430211000178</v>
      </c>
      <c r="AF40" s="148">
        <v>0.55896527675732943</v>
      </c>
      <c r="AG40" s="148">
        <v>0.2500952320376727</v>
      </c>
      <c r="AH40" s="156" t="s">
        <v>113</v>
      </c>
      <c r="AI40" s="148">
        <v>3.0553922504173683E-2</v>
      </c>
      <c r="AJ40" s="148">
        <v>-2.3850256253193678E-2</v>
      </c>
      <c r="AK40" s="148">
        <v>1.1790887137625708E-2</v>
      </c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</row>
    <row r="41" spans="1:50" ht="20" customHeight="1" x14ac:dyDescent="0.2">
      <c r="A41" s="199"/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45" t="s">
        <v>243</v>
      </c>
      <c r="Q41" s="123"/>
      <c r="R41" s="123"/>
      <c r="S41" s="123"/>
      <c r="T41" s="123"/>
      <c r="V41" s="123"/>
      <c r="W41" s="123"/>
      <c r="X41" s="123"/>
      <c r="Y41" s="123"/>
      <c r="Z41" s="123"/>
      <c r="AA41" s="123"/>
      <c r="AB41" s="123"/>
      <c r="AC41" s="123"/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</row>
    <row r="42" spans="1:50" ht="20" customHeight="1" x14ac:dyDescent="0.2">
      <c r="A42" s="199"/>
      <c r="B42" s="123"/>
      <c r="C42" s="123"/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146" cm="1">
        <f t="array" ref="P42:R45">0.5*Blueprint_ep1!P29:R32*Blueprint_ep1!P37:R40</f>
        <v>0.27168636659471246</v>
      </c>
      <c r="Q42" s="146">
        <v>-3.7879868219378728E-2</v>
      </c>
      <c r="R42" s="146">
        <v>-3.2134627548423889E-2</v>
      </c>
      <c r="S42" s="123"/>
      <c r="T42" s="123"/>
      <c r="V42" s="123"/>
      <c r="W42" s="123"/>
      <c r="X42" s="123"/>
      <c r="Y42" s="123"/>
      <c r="Z42" s="123"/>
      <c r="AA42" s="123"/>
      <c r="AB42" s="123"/>
      <c r="AC42" s="123"/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</row>
    <row r="43" spans="1:50" ht="20" customHeight="1" x14ac:dyDescent="0.2">
      <c r="A43" s="199"/>
      <c r="B43" s="123"/>
      <c r="C43" s="123"/>
      <c r="D43" s="123"/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147">
        <v>-3.220323891343322E-2</v>
      </c>
      <c r="Q43" s="147">
        <v>-6.4974534517162758E-2</v>
      </c>
      <c r="R43" s="147">
        <v>7.6651922008077494E-2</v>
      </c>
      <c r="S43" s="123"/>
      <c r="T43" s="123"/>
      <c r="V43" s="123"/>
      <c r="W43" s="123"/>
      <c r="X43" s="123"/>
      <c r="Y43" s="123"/>
      <c r="Z43" s="123"/>
      <c r="AA43" s="123"/>
      <c r="AB43" s="123"/>
      <c r="AC43" s="123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</row>
    <row r="44" spans="1:50" ht="20" customHeight="1" x14ac:dyDescent="0.2">
      <c r="A44" s="199"/>
      <c r="B44" s="123"/>
      <c r="C44" s="123"/>
      <c r="D44" s="123"/>
      <c r="E44" s="123"/>
      <c r="F44" s="123"/>
      <c r="G44" s="123"/>
      <c r="H44" s="123"/>
      <c r="I44" s="123"/>
      <c r="J44" s="123"/>
      <c r="K44" s="123"/>
      <c r="L44" s="123"/>
      <c r="M44" s="123"/>
      <c r="N44" s="123"/>
      <c r="O44" s="123"/>
      <c r="P44" s="147">
        <v>-3.1193258543215703E-2</v>
      </c>
      <c r="Q44" s="147">
        <v>-5.6509413876416836E-2</v>
      </c>
      <c r="R44" s="147">
        <v>-0.16562549074259406</v>
      </c>
      <c r="S44" s="123"/>
      <c r="T44" s="123"/>
      <c r="V44" s="123"/>
      <c r="W44" s="123"/>
      <c r="X44" s="123"/>
      <c r="Y44" s="123"/>
      <c r="Z44" s="123"/>
      <c r="AA44" s="123"/>
      <c r="AB44" s="123"/>
      <c r="AC44" s="123"/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</row>
    <row r="45" spans="1:50" ht="20" customHeight="1" x14ac:dyDescent="0.2">
      <c r="A45" s="199"/>
      <c r="B45" s="123"/>
      <c r="C45" s="123"/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48">
        <v>-2.0144668061893252E-2</v>
      </c>
      <c r="Q45" s="148">
        <v>0.80012107433293722</v>
      </c>
      <c r="R45" s="148">
        <v>1.3167380028523079</v>
      </c>
      <c r="S45" s="123"/>
      <c r="T45" s="149" t="str">
        <f>HYPERLINK("#Blueprint!torchcode", "&lt;/&gt;")</f>
        <v>&lt;/&gt;</v>
      </c>
      <c r="V45" s="149" t="str">
        <f>HYPERLINK("#Blueprint!torchcode", "&lt;/&gt;")</f>
        <v>&lt;/&gt;</v>
      </c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</row>
    <row r="46" spans="1:50" ht="20" customHeight="1" x14ac:dyDescent="0.2">
      <c r="A46" s="199"/>
      <c r="B46" s="123"/>
      <c r="C46" s="123"/>
      <c r="D46" s="123"/>
      <c r="E46" s="123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50" t="str">
        <f>HYPERLINK("#X", "▲")</f>
        <v>▲</v>
      </c>
      <c r="V46" s="150" t="str">
        <f>HYPERLINK("#X", "▲")</f>
        <v>▲</v>
      </c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</row>
    <row r="47" spans="1:50" ht="20" customHeight="1" x14ac:dyDescent="0.2">
      <c r="P47" s="143" t="s">
        <v>117</v>
      </c>
      <c r="Q47" s="143" t="s">
        <v>117</v>
      </c>
      <c r="R47" s="143" t="s">
        <v>117</v>
      </c>
      <c r="AI47" s="160" t="s">
        <v>128</v>
      </c>
      <c r="AJ47" s="160" t="s">
        <v>128</v>
      </c>
      <c r="AK47" s="160" t="s">
        <v>128</v>
      </c>
    </row>
    <row r="48" spans="1:50" ht="20" customHeight="1" x14ac:dyDescent="0.2">
      <c r="A48" s="198" t="s">
        <v>249</v>
      </c>
      <c r="B48" s="130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1" t="s">
        <v>245</v>
      </c>
      <c r="Q48" s="130"/>
      <c r="R48" s="130"/>
      <c r="S48" s="130"/>
      <c r="T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31" t="s">
        <v>135</v>
      </c>
      <c r="AJ48" s="130"/>
      <c r="AK48" s="130"/>
      <c r="AL48" s="130"/>
      <c r="AM48" s="130"/>
      <c r="AN48" s="130"/>
      <c r="AO48" s="130"/>
      <c r="AP48" s="130"/>
      <c r="AQ48" s="130"/>
      <c r="AR48" s="130"/>
      <c r="AS48" s="130"/>
      <c r="AT48" s="130"/>
      <c r="AU48" s="130"/>
      <c r="AV48" s="130"/>
      <c r="AW48" s="130"/>
      <c r="AX48" s="130"/>
    </row>
    <row r="49" spans="1:50" ht="20" customHeight="1" x14ac:dyDescent="0.2">
      <c r="A49" s="198"/>
      <c r="B49" s="130"/>
      <c r="C49" s="130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3" t="s">
        <v>246</v>
      </c>
      <c r="Q49" s="130"/>
      <c r="R49" s="130"/>
      <c r="S49" s="130"/>
      <c r="T49" s="130"/>
      <c r="V49" s="130"/>
      <c r="W49" s="130"/>
      <c r="X49" s="130"/>
      <c r="Y49" s="130"/>
      <c r="Z49" s="130"/>
      <c r="AA49" s="130"/>
      <c r="AB49" s="130"/>
      <c r="AC49" s="130"/>
      <c r="AD49" s="130"/>
      <c r="AE49" s="130"/>
      <c r="AF49" s="130"/>
      <c r="AG49" s="162" t="s">
        <v>134</v>
      </c>
      <c r="AH49" s="130"/>
      <c r="AI49" s="133" t="s">
        <v>136</v>
      </c>
      <c r="AJ49" s="130"/>
      <c r="AK49" s="130"/>
      <c r="AL49" s="130"/>
      <c r="AM49" s="130"/>
      <c r="AN49" s="130"/>
      <c r="AO49" s="130"/>
      <c r="AP49" s="130"/>
      <c r="AQ49" s="130"/>
      <c r="AR49" s="130"/>
      <c r="AS49" s="130"/>
      <c r="AT49" s="130"/>
      <c r="AU49" s="130"/>
      <c r="AV49" s="130"/>
      <c r="AW49" s="130"/>
      <c r="AX49" s="130"/>
    </row>
    <row r="50" spans="1:50" ht="20" customHeight="1" x14ac:dyDescent="0.2">
      <c r="A50" s="198"/>
      <c r="B50" s="130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8" cm="1">
        <f t="array" ref="P50:R53">EXP(Blueprint_ep1!P42:R45)</f>
        <v>1.3121753947303116</v>
      </c>
      <c r="Q50" s="138">
        <v>0.96282860025805972</v>
      </c>
      <c r="R50" s="138">
        <v>0.96837620318891193</v>
      </c>
      <c r="S50" s="130"/>
      <c r="T50" s="130"/>
      <c r="V50" s="130"/>
      <c r="W50" s="130"/>
      <c r="X50" s="134" cm="1">
        <f t="array" ref="X50:AG54">TRANSPOSE(W_3)</f>
        <v>-0.49315618414103657</v>
      </c>
      <c r="Y50" s="135">
        <v>-0.94654135618098056</v>
      </c>
      <c r="Z50" s="135">
        <v>0.7054778459796569</v>
      </c>
      <c r="AA50" s="135">
        <v>-0.81648884571631941</v>
      </c>
      <c r="AB50" s="135">
        <v>0.10063681616659882</v>
      </c>
      <c r="AC50" s="135">
        <v>0.64539114343285131</v>
      </c>
      <c r="AD50" s="135">
        <v>-0.95507293022765194</v>
      </c>
      <c r="AE50" s="135">
        <v>-0.23664670150291431</v>
      </c>
      <c r="AF50" s="135">
        <v>0.9788114136695214</v>
      </c>
      <c r="AG50" s="136">
        <v>-0.74863149553441011</v>
      </c>
      <c r="AH50" s="137" t="s">
        <v>113</v>
      </c>
      <c r="AI50" s="138" cm="1">
        <f t="array" ref="AI50:AK53">_xlfn.DROP(MMULT(W_3T, G_3), -1)</f>
        <v>-9.2096926257998826E-3</v>
      </c>
      <c r="AJ50" s="138">
        <v>0.1080059069476373</v>
      </c>
      <c r="AK50" s="138">
        <v>8.1085141523145984E-2</v>
      </c>
      <c r="AL50" s="130"/>
      <c r="AM50" s="130"/>
      <c r="AN50" s="130"/>
      <c r="AO50" s="130"/>
      <c r="AP50" s="130"/>
      <c r="AQ50" s="130"/>
      <c r="AR50" s="130"/>
      <c r="AS50" s="130"/>
      <c r="AT50" s="130"/>
      <c r="AU50" s="130"/>
      <c r="AV50" s="130"/>
      <c r="AW50" s="130"/>
      <c r="AX50" s="130"/>
    </row>
    <row r="51" spans="1:50" ht="20" customHeight="1" x14ac:dyDescent="0.2">
      <c r="A51" s="198"/>
      <c r="B51" s="130"/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9">
        <v>0.96830976385504142</v>
      </c>
      <c r="Q51" s="139">
        <v>0.93709132655665184</v>
      </c>
      <c r="R51" s="139">
        <v>1.0796662029358919</v>
      </c>
      <c r="S51" s="130"/>
      <c r="T51" s="130"/>
      <c r="V51" s="130"/>
      <c r="W51" s="130"/>
      <c r="X51" s="134">
        <v>-0.82309177079095208</v>
      </c>
      <c r="Y51" s="135">
        <v>-0.10507045233444381</v>
      </c>
      <c r="Z51" s="135">
        <v>-1.0825130857200838E-3</v>
      </c>
      <c r="AA51" s="135">
        <v>-0.71880932794566321</v>
      </c>
      <c r="AB51" s="135">
        <v>-0.63588558069665246</v>
      </c>
      <c r="AC51" s="135">
        <v>-0.68752976122040954</v>
      </c>
      <c r="AD51" s="135">
        <v>7.4960550054755867E-2</v>
      </c>
      <c r="AE51" s="135">
        <v>0.17418853904291218</v>
      </c>
      <c r="AF51" s="135">
        <v>-0.10571381865920085</v>
      </c>
      <c r="AG51" s="136">
        <v>0.53182202272591472</v>
      </c>
      <c r="AH51" s="137" t="s">
        <v>113</v>
      </c>
      <c r="AI51" s="139">
        <v>4.2626668953286507E-3</v>
      </c>
      <c r="AJ51" s="139">
        <v>0.26531979493708119</v>
      </c>
      <c r="AK51" s="139">
        <v>0.28966814278383207</v>
      </c>
      <c r="AL51" s="130"/>
      <c r="AM51" s="130"/>
      <c r="AN51" s="130"/>
      <c r="AO51" s="130"/>
      <c r="AP51" s="130"/>
      <c r="AQ51" s="130"/>
      <c r="AR51" s="130"/>
      <c r="AS51" s="130"/>
      <c r="AT51" s="130"/>
      <c r="AU51" s="130"/>
      <c r="AV51" s="130"/>
      <c r="AW51" s="130"/>
      <c r="AX51" s="130"/>
    </row>
    <row r="52" spans="1:50" ht="20" customHeight="1" x14ac:dyDescent="0.2">
      <c r="A52" s="198"/>
      <c r="B52" s="130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9">
        <v>0.96928823174232981</v>
      </c>
      <c r="Q52" s="139">
        <v>0.94505758779793236</v>
      </c>
      <c r="R52" s="139">
        <v>0.8473635202551304</v>
      </c>
      <c r="S52" s="130"/>
      <c r="T52" s="130"/>
      <c r="V52" s="130"/>
      <c r="W52" s="130"/>
      <c r="X52" s="134">
        <v>0.15362209097063642</v>
      </c>
      <c r="Y52" s="135">
        <v>-0.76364515203274941</v>
      </c>
      <c r="Z52" s="135">
        <v>0.28574525217413282</v>
      </c>
      <c r="AA52" s="135">
        <v>0.8990486046325008</v>
      </c>
      <c r="AB52" s="135">
        <v>9.377691607711959E-2</v>
      </c>
      <c r="AC52" s="135">
        <v>0.65395195716633236</v>
      </c>
      <c r="AD52" s="135">
        <v>0.65962564896185916</v>
      </c>
      <c r="AE52" s="135">
        <v>0.38823164606733379</v>
      </c>
      <c r="AF52" s="135">
        <v>-0.79353689453575438</v>
      </c>
      <c r="AG52" s="136">
        <v>0.19605317866479155</v>
      </c>
      <c r="AH52" s="137" t="s">
        <v>113</v>
      </c>
      <c r="AI52" s="139">
        <v>3.9731172064264832E-2</v>
      </c>
      <c r="AJ52" s="139">
        <v>-0.45077285265694567</v>
      </c>
      <c r="AK52" s="139">
        <v>-0.31758646231956911</v>
      </c>
      <c r="AL52" s="130"/>
      <c r="AM52" s="130"/>
      <c r="AN52" s="130"/>
      <c r="AO52" s="130"/>
      <c r="AP52" s="130"/>
      <c r="AQ52" s="130"/>
      <c r="AR52" s="130"/>
      <c r="AS52" s="130"/>
      <c r="AT52" s="130"/>
      <c r="AU52" s="130"/>
      <c r="AV52" s="130"/>
      <c r="AW52" s="130"/>
      <c r="AX52" s="130"/>
    </row>
    <row r="53" spans="1:50" ht="20" customHeight="1" x14ac:dyDescent="0.2">
      <c r="A53" s="198"/>
      <c r="B53" s="130"/>
      <c r="C53" s="130"/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40">
        <v>0.98005688012113767</v>
      </c>
      <c r="Q53" s="140">
        <v>2.2258104006885633</v>
      </c>
      <c r="R53" s="140">
        <v>3.7312302419400565</v>
      </c>
      <c r="S53" s="130"/>
      <c r="T53" s="130"/>
      <c r="V53" s="130"/>
      <c r="W53" s="130"/>
      <c r="X53" s="134">
        <v>-0.55279080476500164</v>
      </c>
      <c r="Y53" s="135">
        <v>0.74771619919593657</v>
      </c>
      <c r="Z53" s="135">
        <v>0.71203788144347036</v>
      </c>
      <c r="AA53" s="135">
        <v>0.85254827346160178</v>
      </c>
      <c r="AB53" s="135">
        <v>-0.44095319067937722</v>
      </c>
      <c r="AC53" s="135">
        <v>-3.7729901430473188E-2</v>
      </c>
      <c r="AD53" s="135">
        <v>0.69178294314451327</v>
      </c>
      <c r="AE53" s="135">
        <v>0.44685566207557553</v>
      </c>
      <c r="AF53" s="135">
        <v>-0.68110899501087308</v>
      </c>
      <c r="AG53" s="136">
        <v>0.56334306115772004</v>
      </c>
      <c r="AH53" s="137" t="s">
        <v>113</v>
      </c>
      <c r="AI53" s="140">
        <v>3.0566323196999708E-2</v>
      </c>
      <c r="AJ53" s="140">
        <v>-4.266858290653372E-2</v>
      </c>
      <c r="AK53" s="140">
        <v>4.7145589468293447E-2</v>
      </c>
      <c r="AL53" s="130"/>
      <c r="AM53" s="130"/>
      <c r="AN53" s="130"/>
      <c r="AO53" s="130"/>
      <c r="AP53" s="130"/>
      <c r="AQ53" s="130"/>
      <c r="AR53" s="130"/>
      <c r="AS53" s="130"/>
      <c r="AT53" s="130"/>
      <c r="AU53" s="130"/>
      <c r="AV53" s="130"/>
      <c r="AW53" s="130"/>
      <c r="AX53" s="130"/>
    </row>
    <row r="54" spans="1:50" ht="20" customHeight="1" x14ac:dyDescent="0.2">
      <c r="A54" s="198"/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3" t="s">
        <v>247</v>
      </c>
      <c r="Q54" s="130"/>
      <c r="R54" s="130"/>
      <c r="S54" s="130"/>
      <c r="T54" s="130"/>
      <c r="V54" s="130"/>
      <c r="W54" s="130"/>
      <c r="X54" s="134">
        <v>-0.23904122623027912</v>
      </c>
      <c r="Y54" s="135">
        <v>0.9961696646681979</v>
      </c>
      <c r="Z54" s="135">
        <v>0.17407187792538084</v>
      </c>
      <c r="AA54" s="135">
        <v>0.78995747725302101</v>
      </c>
      <c r="AB54" s="135">
        <v>0.94273550215581114</v>
      </c>
      <c r="AC54" s="135">
        <v>-0.83027226064544923</v>
      </c>
      <c r="AD54" s="135">
        <v>0.363109440975383</v>
      </c>
      <c r="AE54" s="135">
        <v>0.47608422939644324</v>
      </c>
      <c r="AF54" s="135">
        <v>-0.20108659593599409</v>
      </c>
      <c r="AG54" s="136">
        <v>-0.29196166410956287</v>
      </c>
      <c r="AH54" s="130"/>
      <c r="AI54" s="130"/>
      <c r="AJ54" s="130"/>
      <c r="AK54" s="130"/>
      <c r="AL54" s="130"/>
      <c r="AM54" s="130"/>
      <c r="AN54" s="130"/>
      <c r="AO54" s="130"/>
      <c r="AP54" s="130"/>
      <c r="AQ54" s="130"/>
      <c r="AR54" s="130"/>
      <c r="AS54" s="130"/>
      <c r="AT54" s="130"/>
      <c r="AU54" s="130"/>
      <c r="AV54" s="130"/>
      <c r="AW54" s="130"/>
      <c r="AX54" s="130"/>
    </row>
    <row r="55" spans="1:50" ht="20" customHeight="1" x14ac:dyDescent="0.2">
      <c r="A55" s="198"/>
      <c r="B55" s="130"/>
      <c r="C55" s="130"/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8" cm="1">
        <f t="array" ref="P55:R58">EXP(-Blueprint_ep1!P42:R45)</f>
        <v>0.76209324151023849</v>
      </c>
      <c r="Q55" s="138">
        <v>1.0386064557409049</v>
      </c>
      <c r="R55" s="138">
        <v>1.0326565199629538</v>
      </c>
      <c r="S55" s="130"/>
      <c r="T55" s="130"/>
      <c r="V55" s="130"/>
      <c r="W55" s="130"/>
      <c r="X55" s="130"/>
      <c r="Y55" s="130"/>
      <c r="Z55" s="130"/>
      <c r="AA55" s="130"/>
      <c r="AB55" s="130"/>
      <c r="AC55" s="130"/>
      <c r="AD55" s="130"/>
      <c r="AE55" s="130"/>
      <c r="AF55" s="130"/>
      <c r="AG55" s="130"/>
      <c r="AH55" s="130"/>
      <c r="AI55" s="130"/>
      <c r="AJ55" s="130"/>
      <c r="AK55" s="130"/>
      <c r="AL55" s="130"/>
      <c r="AM55" s="130"/>
      <c r="AN55" s="130"/>
      <c r="AO55" s="130"/>
      <c r="AP55" s="130"/>
      <c r="AQ55" s="130"/>
      <c r="AR55" s="130"/>
      <c r="AS55" s="130"/>
      <c r="AT55" s="130"/>
      <c r="AU55" s="130"/>
      <c r="AV55" s="130"/>
      <c r="AW55" s="130"/>
      <c r="AX55" s="130"/>
    </row>
    <row r="56" spans="1:50" ht="20" customHeight="1" x14ac:dyDescent="0.2">
      <c r="A56" s="198"/>
      <c r="B56" s="130"/>
      <c r="C56" s="130"/>
      <c r="D56" s="130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9">
        <v>1.0327273743670551</v>
      </c>
      <c r="Q56" s="139">
        <v>1.0671318490103909</v>
      </c>
      <c r="R56" s="139">
        <v>0.92621219158360357</v>
      </c>
      <c r="S56" s="130"/>
      <c r="T56" s="130"/>
      <c r="V56" s="130"/>
      <c r="W56" s="130"/>
      <c r="X56" s="130"/>
      <c r="Y56" s="130"/>
      <c r="Z56" s="130"/>
      <c r="AA56" s="130"/>
      <c r="AB56" s="130"/>
      <c r="AC56" s="130"/>
      <c r="AD56" s="130"/>
      <c r="AE56" s="130"/>
      <c r="AF56" s="130"/>
      <c r="AG56" s="130"/>
      <c r="AH56" s="130"/>
      <c r="AI56" s="130"/>
      <c r="AJ56" s="130"/>
      <c r="AK56" s="130"/>
      <c r="AL56" s="130"/>
      <c r="AM56" s="130"/>
      <c r="AN56" s="130"/>
      <c r="AO56" s="130"/>
      <c r="AP56" s="130"/>
      <c r="AQ56" s="130"/>
      <c r="AR56" s="130"/>
      <c r="AS56" s="130"/>
      <c r="AT56" s="130"/>
      <c r="AU56" s="130"/>
      <c r="AV56" s="130"/>
      <c r="AW56" s="130"/>
      <c r="AX56" s="130"/>
    </row>
    <row r="57" spans="1:50" ht="20" customHeight="1" x14ac:dyDescent="0.2">
      <c r="A57" s="198"/>
      <c r="B57" s="130"/>
      <c r="C57" s="130"/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9">
        <v>1.031684866535999</v>
      </c>
      <c r="Q57" s="139">
        <v>1.0581365759202974</v>
      </c>
      <c r="R57" s="139">
        <v>1.1801310489492309</v>
      </c>
      <c r="S57" s="130"/>
      <c r="T57" s="130"/>
      <c r="V57" s="130"/>
      <c r="W57" s="130"/>
      <c r="X57" s="130"/>
      <c r="Y57" s="130"/>
      <c r="Z57" s="130"/>
      <c r="AA57" s="130"/>
      <c r="AB57" s="130"/>
      <c r="AC57" s="130"/>
      <c r="AD57" s="130"/>
      <c r="AE57" s="130"/>
      <c r="AF57" s="130"/>
      <c r="AG57" s="130"/>
      <c r="AH57" s="130"/>
      <c r="AI57" s="130"/>
      <c r="AJ57" s="130"/>
      <c r="AK57" s="130"/>
      <c r="AL57" s="130"/>
      <c r="AM57" s="130"/>
      <c r="AN57" s="130"/>
      <c r="AO57" s="130"/>
      <c r="AP57" s="130"/>
      <c r="AQ57" s="130"/>
      <c r="AR57" s="130"/>
      <c r="AS57" s="130"/>
      <c r="AT57" s="130"/>
      <c r="AU57" s="130"/>
      <c r="AV57" s="130"/>
      <c r="AW57" s="130"/>
      <c r="AX57" s="130"/>
    </row>
    <row r="58" spans="1:50" ht="20" customHeight="1" x14ac:dyDescent="0.2">
      <c r="A58" s="198"/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40">
        <v>1.0203489412536926</v>
      </c>
      <c r="Q58" s="140">
        <v>0.44927456520584413</v>
      </c>
      <c r="R58" s="140">
        <v>0.26800811934887436</v>
      </c>
      <c r="S58" s="130"/>
      <c r="T58" s="130"/>
      <c r="V58" s="130"/>
      <c r="W58" s="130"/>
      <c r="X58" s="130"/>
      <c r="Y58" s="130"/>
      <c r="Z58" s="130"/>
      <c r="AA58" s="130"/>
      <c r="AB58" s="130"/>
      <c r="AC58" s="130"/>
      <c r="AD58" s="130"/>
      <c r="AE58" s="130"/>
      <c r="AF58" s="130"/>
      <c r="AG58" s="130"/>
      <c r="AH58" s="130"/>
      <c r="AI58" s="130"/>
      <c r="AJ58" s="130"/>
      <c r="AK58" s="130"/>
      <c r="AL58" s="130"/>
      <c r="AM58" s="130"/>
      <c r="AN58" s="130"/>
      <c r="AO58" s="130"/>
      <c r="AP58" s="130"/>
      <c r="AQ58" s="130"/>
      <c r="AR58" s="130"/>
      <c r="AS58" s="130"/>
      <c r="AT58" s="130"/>
      <c r="AU58" s="130"/>
      <c r="AV58" s="130"/>
      <c r="AW58" s="130"/>
      <c r="AX58" s="130"/>
    </row>
    <row r="59" spans="1:50" ht="20" customHeight="1" x14ac:dyDescent="0.2">
      <c r="A59" s="198"/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3" t="s">
        <v>248</v>
      </c>
      <c r="Q59" s="130"/>
      <c r="R59" s="130"/>
      <c r="S59" s="130"/>
      <c r="T59" s="130"/>
      <c r="V59" s="130"/>
      <c r="W59" s="130"/>
      <c r="X59" s="130"/>
      <c r="Y59" s="130"/>
      <c r="Z59" s="130"/>
      <c r="AA59" s="130"/>
      <c r="AB59" s="130"/>
      <c r="AC59" s="130"/>
      <c r="AD59" s="130"/>
      <c r="AE59" s="130"/>
      <c r="AF59" s="130"/>
      <c r="AG59" s="130"/>
      <c r="AH59" s="130"/>
      <c r="AI59" s="130"/>
      <c r="AJ59" s="130"/>
      <c r="AK59" s="130"/>
      <c r="AL59" s="130"/>
      <c r="AM59" s="130"/>
      <c r="AN59" s="130"/>
      <c r="AO59" s="130"/>
      <c r="AP59" s="130"/>
      <c r="AQ59" s="130"/>
      <c r="AR59" s="130"/>
      <c r="AS59" s="130"/>
      <c r="AT59" s="130"/>
      <c r="AU59" s="130"/>
      <c r="AV59" s="130"/>
      <c r="AW59" s="130"/>
      <c r="AX59" s="130"/>
    </row>
    <row r="60" spans="1:50" ht="20" customHeight="1" x14ac:dyDescent="0.2">
      <c r="A60" s="198"/>
      <c r="B60" s="130"/>
      <c r="C60" s="130"/>
      <c r="D60" s="130"/>
      <c r="E60" s="130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138" cm="1">
        <f t="array" ref="P60:R64">_xlfn.VSTACK((Blueprint_ep1!P50:R53-Blueprint_ep1!P55:R58)/(Blueprint_ep1!P50:R53+Blueprint_ep1!P55:R58), _xlfn.SEQUENCE(1,3)*0+1)</f>
        <v>0.26519330409249892</v>
      </c>
      <c r="Q60" s="138">
        <v>-3.7861760867890198E-2</v>
      </c>
      <c r="R60" s="138">
        <v>-3.2123571009270005E-2</v>
      </c>
      <c r="S60" s="130"/>
      <c r="T60" s="130"/>
      <c r="V60" s="130"/>
      <c r="W60" s="130"/>
      <c r="X60" s="130"/>
      <c r="Y60" s="130"/>
      <c r="Z60" s="130"/>
      <c r="AA60" s="130"/>
      <c r="AB60" s="130"/>
      <c r="AC60" s="130"/>
      <c r="AD60" s="130"/>
      <c r="AE60" s="130"/>
      <c r="AF60" s="130"/>
      <c r="AG60" s="130"/>
      <c r="AH60" s="130"/>
      <c r="AI60" s="130"/>
      <c r="AJ60" s="130"/>
      <c r="AK60" s="130"/>
      <c r="AL60" s="130"/>
      <c r="AM60" s="130"/>
      <c r="AN60" s="130"/>
      <c r="AO60" s="130"/>
      <c r="AP60" s="130"/>
      <c r="AQ60" s="130"/>
      <c r="AR60" s="130"/>
      <c r="AS60" s="130"/>
      <c r="AT60" s="130"/>
      <c r="AU60" s="130"/>
      <c r="AV60" s="130"/>
      <c r="AW60" s="130"/>
      <c r="AX60" s="130"/>
    </row>
    <row r="61" spans="1:50" ht="20" customHeight="1" x14ac:dyDescent="0.2">
      <c r="A61" s="198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9">
        <v>-3.2192111421404268E-2</v>
      </c>
      <c r="Q61" s="139">
        <v>-6.4883254539229399E-2</v>
      </c>
      <c r="R61" s="139">
        <v>7.6502150764253055E-2</v>
      </c>
      <c r="S61" s="130"/>
      <c r="T61" s="130"/>
      <c r="V61" s="130"/>
      <c r="W61" s="130"/>
      <c r="X61" s="130"/>
      <c r="Y61" s="130"/>
      <c r="Z61" s="130"/>
      <c r="AA61" s="130"/>
      <c r="AB61" s="130"/>
      <c r="AC61" s="130"/>
      <c r="AD61" s="130"/>
      <c r="AE61" s="130"/>
      <c r="AF61" s="130"/>
      <c r="AG61" s="130"/>
      <c r="AH61" s="130"/>
      <c r="AI61" s="130"/>
      <c r="AJ61" s="130"/>
      <c r="AK61" s="130"/>
      <c r="AL61" s="130"/>
      <c r="AM61" s="130"/>
      <c r="AN61" s="130"/>
      <c r="AO61" s="130"/>
      <c r="AP61" s="130"/>
      <c r="AQ61" s="130"/>
      <c r="AR61" s="130"/>
      <c r="AS61" s="130"/>
      <c r="AT61" s="130"/>
      <c r="AU61" s="130"/>
      <c r="AV61" s="130"/>
      <c r="AW61" s="130"/>
      <c r="AX61" s="130"/>
    </row>
    <row r="62" spans="1:50" ht="20" customHeight="1" x14ac:dyDescent="0.2">
      <c r="A62" s="198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9">
        <v>-3.1183145264349791E-2</v>
      </c>
      <c r="Q62" s="139">
        <v>-5.6449339844557772E-2</v>
      </c>
      <c r="R62" s="139">
        <v>-0.16412745747806698</v>
      </c>
      <c r="S62" s="130"/>
      <c r="T62" s="130"/>
      <c r="V62" s="130"/>
      <c r="W62" s="130"/>
      <c r="X62" s="130"/>
      <c r="Y62" s="130"/>
      <c r="Z62" s="130"/>
      <c r="AA62" s="130"/>
      <c r="AB62" s="130"/>
      <c r="AC62" s="130"/>
      <c r="AD62" s="130"/>
      <c r="AE62" s="130"/>
      <c r="AF62" s="130"/>
      <c r="AG62" s="130"/>
      <c r="AH62" s="130"/>
      <c r="AI62" s="130"/>
      <c r="AJ62" s="130"/>
      <c r="AK62" s="130"/>
      <c r="AL62" s="130"/>
      <c r="AM62" s="130"/>
      <c r="AN62" s="130"/>
      <c r="AO62" s="130"/>
      <c r="AP62" s="130"/>
      <c r="AQ62" s="130"/>
      <c r="AR62" s="130"/>
      <c r="AS62" s="130"/>
      <c r="AT62" s="130"/>
      <c r="AU62" s="130"/>
      <c r="AV62" s="130"/>
      <c r="AW62" s="130"/>
      <c r="AX62" s="130"/>
    </row>
    <row r="63" spans="1:50" ht="20" customHeight="1" x14ac:dyDescent="0.2">
      <c r="A63" s="198"/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40">
        <v>-2.014194355066571E-2</v>
      </c>
      <c r="Q63" s="140">
        <v>0.66410445205755886</v>
      </c>
      <c r="R63" s="140">
        <v>0.865970419796385</v>
      </c>
      <c r="S63" s="130"/>
      <c r="T63" s="130"/>
      <c r="V63" s="130"/>
      <c r="W63" s="130"/>
      <c r="X63" s="130"/>
      <c r="Y63" s="130"/>
      <c r="Z63" s="130"/>
      <c r="AA63" s="130"/>
      <c r="AB63" s="130"/>
      <c r="AC63" s="130"/>
      <c r="AD63" s="130"/>
      <c r="AE63" s="130"/>
      <c r="AF63" s="130"/>
      <c r="AG63" s="130"/>
      <c r="AH63" s="130"/>
      <c r="AI63" s="130"/>
      <c r="AJ63" s="130"/>
      <c r="AK63" s="130"/>
      <c r="AL63" s="130"/>
      <c r="AM63" s="130"/>
      <c r="AN63" s="130"/>
      <c r="AO63" s="130"/>
      <c r="AP63" s="130"/>
      <c r="AQ63" s="130"/>
      <c r="AR63" s="130"/>
      <c r="AS63" s="130"/>
      <c r="AT63" s="130"/>
      <c r="AU63" s="130"/>
      <c r="AV63" s="130"/>
      <c r="AW63" s="130"/>
      <c r="AX63" s="130"/>
    </row>
    <row r="64" spans="1:50" ht="20" customHeight="1" x14ac:dyDescent="0.2">
      <c r="A64" s="198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>
        <v>1</v>
      </c>
      <c r="Q64" s="130">
        <v>1</v>
      </c>
      <c r="R64" s="130">
        <v>1</v>
      </c>
      <c r="S64" s="130"/>
      <c r="T64" s="141" t="str">
        <f>HYPERLINK("#Blueprint!torchcode", "&lt;/&gt;")</f>
        <v>&lt;/&gt;</v>
      </c>
      <c r="V64" s="141" t="str">
        <f>HYPERLINK("#Blueprint!torchcode", "&lt;/&gt;")</f>
        <v>&lt;/&gt;</v>
      </c>
      <c r="W64" s="130"/>
      <c r="X64" s="130"/>
      <c r="Y64" s="130"/>
      <c r="Z64" s="130"/>
      <c r="AA64" s="130"/>
      <c r="AB64" s="130"/>
      <c r="AC64" s="130"/>
      <c r="AD64" s="130"/>
      <c r="AE64" s="130"/>
      <c r="AF64" s="130"/>
      <c r="AG64" s="130"/>
      <c r="AH64" s="130"/>
      <c r="AI64" s="130"/>
      <c r="AJ64" s="130"/>
      <c r="AK64" s="130"/>
      <c r="AL64" s="130"/>
      <c r="AM64" s="130"/>
      <c r="AN64" s="130"/>
      <c r="AO64" s="130"/>
      <c r="AP64" s="130"/>
      <c r="AQ64" s="130"/>
      <c r="AR64" s="130"/>
      <c r="AS64" s="130"/>
      <c r="AT64" s="130"/>
      <c r="AU64" s="130"/>
      <c r="AV64" s="130"/>
      <c r="AW64" s="130"/>
      <c r="AX64" s="130"/>
    </row>
    <row r="65" spans="1:56" ht="20" customHeight="1" x14ac:dyDescent="0.2">
      <c r="A65" s="198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42" t="str">
        <f>HYPERLINK("#X", "▲")</f>
        <v>▲</v>
      </c>
      <c r="V65" s="142" t="str">
        <f>HYPERLINK("#X", "▲")</f>
        <v>▲</v>
      </c>
      <c r="W65" s="130"/>
      <c r="X65" s="130"/>
      <c r="Y65" s="130"/>
      <c r="Z65" s="130"/>
      <c r="AA65" s="130"/>
      <c r="AB65" s="130"/>
      <c r="AC65" s="130"/>
      <c r="AD65" s="130"/>
      <c r="AE65" s="130"/>
      <c r="AF65" s="130"/>
      <c r="AG65" s="130"/>
      <c r="AH65" s="130"/>
      <c r="AI65" s="130"/>
      <c r="AJ65" s="130"/>
      <c r="AK65" s="130"/>
      <c r="AL65" s="130"/>
      <c r="AM65" s="130"/>
      <c r="AN65" s="130"/>
      <c r="AO65" s="130"/>
      <c r="AP65" s="130"/>
      <c r="AQ65" s="130"/>
      <c r="AR65" s="130"/>
      <c r="AS65" s="130"/>
      <c r="AT65" s="130"/>
      <c r="AU65" s="130"/>
      <c r="AV65" s="130"/>
      <c r="AW65" s="130"/>
      <c r="AX65" s="130"/>
    </row>
    <row r="66" spans="1:56" ht="20" customHeight="1" x14ac:dyDescent="0.2">
      <c r="P66" s="143" t="s">
        <v>117</v>
      </c>
      <c r="Q66" s="143" t="s">
        <v>117</v>
      </c>
      <c r="R66" s="143" t="s">
        <v>117</v>
      </c>
      <c r="AI66" s="160" t="s">
        <v>128</v>
      </c>
      <c r="AJ66" s="160" t="s">
        <v>128</v>
      </c>
      <c r="AK66" s="160" t="s">
        <v>128</v>
      </c>
    </row>
    <row r="67" spans="1:56" ht="20" customHeight="1" x14ac:dyDescent="0.2">
      <c r="A67" s="199" t="s">
        <v>121</v>
      </c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44" t="s">
        <v>119</v>
      </c>
      <c r="Q67" s="123"/>
      <c r="R67" s="123"/>
      <c r="S67" s="123"/>
      <c r="T67" s="123"/>
      <c r="V67" s="123"/>
      <c r="W67" s="123"/>
      <c r="X67" s="123"/>
      <c r="Y67" s="123"/>
      <c r="Z67" s="123"/>
      <c r="AA67" s="123"/>
      <c r="AB67" s="123"/>
      <c r="AC67" s="123"/>
      <c r="AD67" s="123"/>
      <c r="AE67" s="123"/>
      <c r="AF67" s="123"/>
      <c r="AG67" s="123"/>
      <c r="AH67" s="123"/>
      <c r="AI67" s="144" t="s">
        <v>129</v>
      </c>
      <c r="AJ67" s="123"/>
      <c r="AK67" s="123"/>
      <c r="AL67" s="123"/>
      <c r="AM67" s="123"/>
      <c r="AN67" s="123"/>
      <c r="AO67" s="123"/>
      <c r="AP67" s="123"/>
      <c r="AQ67" s="144" t="s">
        <v>130</v>
      </c>
      <c r="AR67" s="123"/>
      <c r="AS67" s="123"/>
      <c r="AT67" s="123"/>
      <c r="AU67" s="123"/>
      <c r="AV67" s="123"/>
      <c r="AW67" s="123"/>
      <c r="AX67" s="123"/>
      <c r="AZ67" s="117" t="s">
        <v>132</v>
      </c>
    </row>
    <row r="68" spans="1:56" ht="20" customHeight="1" x14ac:dyDescent="0.2">
      <c r="A68" s="199"/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52" t="s">
        <v>118</v>
      </c>
      <c r="O68" s="123"/>
      <c r="P68" s="145" t="s">
        <v>120</v>
      </c>
      <c r="Q68" s="123"/>
      <c r="R68" s="123"/>
      <c r="S68" s="123"/>
      <c r="T68" s="123"/>
      <c r="V68" s="123"/>
      <c r="W68" s="123"/>
      <c r="X68" s="123"/>
      <c r="Y68" s="123"/>
      <c r="Z68" s="123"/>
      <c r="AA68" s="123"/>
      <c r="AB68" s="123"/>
      <c r="AC68" s="123"/>
      <c r="AD68" s="123"/>
      <c r="AE68" s="123"/>
      <c r="AF68" s="123"/>
      <c r="AG68" s="161" t="s">
        <v>298</v>
      </c>
      <c r="AH68" s="123"/>
      <c r="AI68" s="145" t="s">
        <v>299</v>
      </c>
      <c r="AJ68" s="123"/>
      <c r="AK68" s="123"/>
      <c r="AL68" s="123"/>
      <c r="AM68" s="123"/>
      <c r="AN68" s="123"/>
      <c r="AO68" s="123"/>
      <c r="AP68" s="123"/>
      <c r="AQ68" s="161" t="s">
        <v>131</v>
      </c>
      <c r="AR68" s="123"/>
      <c r="AS68" s="123"/>
      <c r="AT68" s="123"/>
      <c r="AU68" s="123"/>
      <c r="AV68" s="123"/>
      <c r="AW68" s="123"/>
      <c r="AX68" s="123"/>
      <c r="AZ68" s="129" t="s">
        <v>133</v>
      </c>
    </row>
    <row r="69" spans="1:56" ht="20" customHeight="1" x14ac:dyDescent="0.2">
      <c r="A69" s="199"/>
      <c r="B69" s="123"/>
      <c r="C69" s="123"/>
      <c r="D69" s="123"/>
      <c r="E69" s="123"/>
      <c r="F69" s="123"/>
      <c r="G69" s="123"/>
      <c r="H69" s="123"/>
      <c r="I69" s="123"/>
      <c r="J69" s="153" cm="1">
        <f t="array" ref="J69:N78">Blueprint!newW_3</f>
        <v>-0.49315618414103657</v>
      </c>
      <c r="K69" s="154">
        <v>-0.82309177079095208</v>
      </c>
      <c r="L69" s="154">
        <v>0.15362209097063642</v>
      </c>
      <c r="M69" s="154">
        <v>-0.55279080476500164</v>
      </c>
      <c r="N69" s="155">
        <v>-0.23904122623027912</v>
      </c>
      <c r="O69" s="156" t="s">
        <v>113</v>
      </c>
      <c r="P69" s="146" cm="1">
        <f t="array" ref="P69:R78">MMULT(Blueprint_ep1!J69:N78,Blueprint_ep1!P60:R64)</f>
        <v>-0.33698202093459295</v>
      </c>
      <c r="Q69" s="146">
        <v>-0.54274729196418703</v>
      </c>
      <c r="R69" s="146">
        <v>-0.79008166773763422</v>
      </c>
      <c r="S69" s="123"/>
      <c r="T69" s="123"/>
      <c r="V69" s="123"/>
      <c r="W69" s="123"/>
      <c r="X69" s="123"/>
      <c r="Y69" s="123"/>
      <c r="Z69" s="123"/>
      <c r="AA69" s="123"/>
      <c r="AB69" s="123"/>
      <c r="AC69" s="123"/>
      <c r="AD69" s="123"/>
      <c r="AE69" s="146" cm="1">
        <f t="array" ref="AE69:AG78">_xlfn.DROP(1-(X_4*X_4),-1)</f>
        <v>0.8945176847074231</v>
      </c>
      <c r="AF69" s="146">
        <v>0.75491089658218336</v>
      </c>
      <c r="AG69" s="146">
        <v>0.56643662048281884</v>
      </c>
      <c r="AH69" s="156" t="s">
        <v>113</v>
      </c>
      <c r="AI69" s="146" cm="1">
        <f t="array" ref="AI69:AK78">G_4*MaskTanh_4</f>
        <v>-1.0592221807124311E-2</v>
      </c>
      <c r="AJ69" s="146">
        <v>2.936624374229533E-2</v>
      </c>
      <c r="AK69" s="146">
        <v>4.0929222681902865E-3</v>
      </c>
      <c r="AL69" s="156" t="s">
        <v>113</v>
      </c>
      <c r="AM69" s="153" cm="1">
        <f t="array" ref="AM69:AQ78">MMULT(G_3, TRANSPOSE(X_2))</f>
        <v>-4.0523232759885116E-3</v>
      </c>
      <c r="AN69" s="154">
        <v>-1.2512741265497645E-3</v>
      </c>
      <c r="AO69" s="154">
        <v>-1.9991672072166107E-3</v>
      </c>
      <c r="AP69" s="154">
        <v>2.3259950757959703E-2</v>
      </c>
      <c r="AQ69" s="155">
        <v>2.2866944203361307E-2</v>
      </c>
      <c r="AR69" s="123"/>
      <c r="AS69" s="123"/>
      <c r="AT69" s="123"/>
      <c r="AU69" s="123"/>
      <c r="AV69" s="123"/>
      <c r="AW69" s="123"/>
      <c r="AX69" s="123"/>
      <c r="AY69" s="128" t="s">
        <v>113</v>
      </c>
      <c r="AZ69" s="125" cm="1">
        <f t="array" ref="AZ69:BD78">W_3 - lrate * dW_3</f>
        <v>-0.4927509518134377</v>
      </c>
      <c r="BA69" s="126">
        <v>-0.82296664337829706</v>
      </c>
      <c r="BB69" s="126">
        <v>0.15382200769135809</v>
      </c>
      <c r="BC69" s="126">
        <v>-0.55511679984079765</v>
      </c>
      <c r="BD69" s="127">
        <v>-0.24132792065061526</v>
      </c>
    </row>
    <row r="70" spans="1:56" ht="20" customHeight="1" x14ac:dyDescent="0.2">
      <c r="A70" s="199"/>
      <c r="B70" s="123"/>
      <c r="C70" s="123"/>
      <c r="D70" s="123"/>
      <c r="E70" s="123"/>
      <c r="F70" s="123"/>
      <c r="G70" s="123"/>
      <c r="H70" s="123"/>
      <c r="I70" s="123"/>
      <c r="J70" s="153">
        <v>-0.94654135618098056</v>
      </c>
      <c r="K70" s="154">
        <v>-0.10507045233444381</v>
      </c>
      <c r="L70" s="154">
        <v>-0.76364515203274941</v>
      </c>
      <c r="M70" s="154">
        <v>0.74771619919593657</v>
      </c>
      <c r="N70" s="155">
        <v>0.9961696646681979</v>
      </c>
      <c r="O70" s="156" t="s">
        <v>113</v>
      </c>
      <c r="P70" s="147">
        <v>0.75728807490114747</v>
      </c>
      <c r="Q70" s="147">
        <v>1.5784936215201819</v>
      </c>
      <c r="R70" s="147">
        <v>1.79137308567618</v>
      </c>
      <c r="S70" s="123"/>
      <c r="T70" s="123"/>
      <c r="V70" s="123"/>
      <c r="W70" s="123"/>
      <c r="X70" s="123"/>
      <c r="Y70" s="123"/>
      <c r="Z70" s="123"/>
      <c r="AA70" s="123"/>
      <c r="AB70" s="123"/>
      <c r="AC70" s="123"/>
      <c r="AD70" s="123"/>
      <c r="AE70" s="147">
        <v>0.59106941697384163</v>
      </c>
      <c r="AF70" s="147">
        <v>0.15660331133151117</v>
      </c>
      <c r="AG70" s="147">
        <v>0.10526318453639039</v>
      </c>
      <c r="AH70" s="156" t="s">
        <v>113</v>
      </c>
      <c r="AI70" s="147">
        <v>-7.9122335224339289E-3</v>
      </c>
      <c r="AJ70" s="147">
        <v>3.4043612098959702E-2</v>
      </c>
      <c r="AK70" s="147">
        <v>1.5380081209309285E-2</v>
      </c>
      <c r="AL70" s="156" t="s">
        <v>113</v>
      </c>
      <c r="AM70" s="153">
        <v>-3.8812855817912965E-3</v>
      </c>
      <c r="AN70" s="154">
        <v>-7.7753955466419462E-4</v>
      </c>
      <c r="AO70" s="154">
        <v>-4.1993047263050864E-3</v>
      </c>
      <c r="AP70" s="154">
        <v>3.6086577501336314E-2</v>
      </c>
      <c r="AQ70" s="155">
        <v>4.1511459785835064E-2</v>
      </c>
      <c r="AR70" s="123"/>
      <c r="AS70" s="123"/>
      <c r="AT70" s="123"/>
      <c r="AU70" s="123"/>
      <c r="AV70" s="123"/>
      <c r="AW70" s="123"/>
      <c r="AX70" s="123"/>
      <c r="AY70" s="128" t="s">
        <v>113</v>
      </c>
      <c r="AZ70" s="125">
        <v>-0.94615322762280141</v>
      </c>
      <c r="BA70" s="126">
        <v>-0.1049926983789774</v>
      </c>
      <c r="BB70" s="126">
        <v>-0.76322522156011885</v>
      </c>
      <c r="BC70" s="126">
        <v>0.74410754144580293</v>
      </c>
      <c r="BD70" s="127">
        <v>0.99201851868961444</v>
      </c>
    </row>
    <row r="71" spans="1:56" ht="20" customHeight="1" x14ac:dyDescent="0.2">
      <c r="A71" s="199"/>
      <c r="B71" s="123"/>
      <c r="C71" s="123"/>
      <c r="D71" s="123"/>
      <c r="E71" s="123"/>
      <c r="F71" s="123"/>
      <c r="G71" s="123"/>
      <c r="H71" s="123"/>
      <c r="I71" s="123"/>
      <c r="J71" s="153">
        <v>0.7054778459796569</v>
      </c>
      <c r="K71" s="154">
        <v>-1.0825130857200838E-3</v>
      </c>
      <c r="L71" s="154">
        <v>0.28574525217413282</v>
      </c>
      <c r="M71" s="154">
        <v>0.71203788144347036</v>
      </c>
      <c r="N71" s="155">
        <v>0.17407187792538084</v>
      </c>
      <c r="O71" s="156" t="s">
        <v>113</v>
      </c>
      <c r="P71" s="147">
        <v>0.33794246472554151</v>
      </c>
      <c r="Q71" s="147">
        <v>0.60416887764668203</v>
      </c>
      <c r="R71" s="147">
        <v>0.72103169704405945</v>
      </c>
      <c r="S71" s="123"/>
      <c r="T71" s="123"/>
      <c r="V71" s="123"/>
      <c r="W71" s="123"/>
      <c r="X71" s="123"/>
      <c r="Y71" s="123"/>
      <c r="Z71" s="123"/>
      <c r="AA71" s="123"/>
      <c r="AB71" s="123"/>
      <c r="AC71" s="123"/>
      <c r="AD71" s="123"/>
      <c r="AE71" s="147">
        <v>0.89395906149305604</v>
      </c>
      <c r="AF71" s="147">
        <v>0.7083898438950178</v>
      </c>
      <c r="AG71" s="147">
        <v>0.6186345257944692</v>
      </c>
      <c r="AH71" s="156" t="s">
        <v>113</v>
      </c>
      <c r="AI71" s="147">
        <v>8.9847641553419001E-3</v>
      </c>
      <c r="AJ71" s="147">
        <v>5.7671217983373151E-2</v>
      </c>
      <c r="AK71" s="147">
        <v>6.2217973025754388E-2</v>
      </c>
      <c r="AL71" s="156" t="s">
        <v>113</v>
      </c>
      <c r="AM71" s="153">
        <v>-1.7994980459451414E-3</v>
      </c>
      <c r="AN71" s="154">
        <v>7.2867390787610242E-4</v>
      </c>
      <c r="AO71" s="154">
        <v>-1.3747353111170974E-2</v>
      </c>
      <c r="AP71" s="154">
        <v>9.1997666225899805E-2</v>
      </c>
      <c r="AQ71" s="155">
        <v>0.12887395516446945</v>
      </c>
      <c r="AR71" s="123"/>
      <c r="AS71" s="123"/>
      <c r="AT71" s="123"/>
      <c r="AU71" s="123"/>
      <c r="AV71" s="123"/>
      <c r="AW71" s="123"/>
      <c r="AX71" s="123"/>
      <c r="AY71" s="128" t="s">
        <v>113</v>
      </c>
      <c r="AZ71" s="125">
        <v>0.70565779578425136</v>
      </c>
      <c r="BA71" s="126">
        <v>-1.1553804765076941E-3</v>
      </c>
      <c r="BB71" s="126">
        <v>0.28711998748524992</v>
      </c>
      <c r="BC71" s="126">
        <v>0.70283811482088032</v>
      </c>
      <c r="BD71" s="127">
        <v>0.1611844824089339</v>
      </c>
    </row>
    <row r="72" spans="1:56" ht="20" customHeight="1" x14ac:dyDescent="0.2">
      <c r="A72" s="199"/>
      <c r="B72" s="123"/>
      <c r="C72" s="123"/>
      <c r="D72" s="123"/>
      <c r="E72" s="123"/>
      <c r="F72" s="123"/>
      <c r="G72" s="123"/>
      <c r="H72" s="123"/>
      <c r="I72" s="123"/>
      <c r="J72" s="153">
        <v>-0.81648884571631941</v>
      </c>
      <c r="K72" s="154">
        <v>-0.71880932794566321</v>
      </c>
      <c r="L72" s="154">
        <v>0.8990486046325008</v>
      </c>
      <c r="M72" s="154">
        <v>0.85254827346160178</v>
      </c>
      <c r="N72" s="155">
        <v>0.78995747725302101</v>
      </c>
      <c r="O72" s="156" t="s">
        <v>113</v>
      </c>
      <c r="P72" s="147">
        <v>0.55136295004256386</v>
      </c>
      <c r="Q72" s="147">
        <v>1.3829402750512623</v>
      </c>
      <c r="R72" s="147">
        <v>1.3519185797281059</v>
      </c>
      <c r="S72" s="123"/>
      <c r="T72" s="123"/>
      <c r="V72" s="123"/>
      <c r="W72" s="123"/>
      <c r="X72" s="123"/>
      <c r="Y72" s="123"/>
      <c r="Z72" s="123"/>
      <c r="AA72" s="123"/>
      <c r="AB72" s="123"/>
      <c r="AC72" s="123"/>
      <c r="AD72" s="123"/>
      <c r="AE72" s="147">
        <v>0.74845660794390934</v>
      </c>
      <c r="AF72" s="147">
        <v>0.22276739456868022</v>
      </c>
      <c r="AG72" s="147">
        <v>0.23524035221841955</v>
      </c>
      <c r="AH72" s="156" t="s">
        <v>113</v>
      </c>
      <c r="AI72" s="147">
        <v>2.1890976888687065E-3</v>
      </c>
      <c r="AJ72" s="147">
        <v>1.59631110571836E-2</v>
      </c>
      <c r="AK72" s="147">
        <v>8.6591211479953422E-3</v>
      </c>
      <c r="AL72" s="156" t="s">
        <v>113</v>
      </c>
      <c r="AM72" s="153">
        <v>-3.0201933753781388E-4</v>
      </c>
      <c r="AN72" s="154">
        <v>-4.4376888312375922E-4</v>
      </c>
      <c r="AO72" s="154">
        <v>-2.3905695702882562E-3</v>
      </c>
      <c r="AP72" s="154">
        <v>1.805562321528607E-2</v>
      </c>
      <c r="AQ72" s="155">
        <v>2.681132989404765E-2</v>
      </c>
      <c r="AR72" s="123"/>
      <c r="AS72" s="123"/>
      <c r="AT72" s="123"/>
      <c r="AU72" s="123"/>
      <c r="AV72" s="123"/>
      <c r="AW72" s="123"/>
      <c r="AX72" s="123"/>
      <c r="AY72" s="128" t="s">
        <v>113</v>
      </c>
      <c r="AZ72" s="125">
        <v>-0.81645864378256561</v>
      </c>
      <c r="BA72" s="126">
        <v>-0.71876495105735083</v>
      </c>
      <c r="BB72" s="126">
        <v>0.89928766158952966</v>
      </c>
      <c r="BC72" s="126">
        <v>0.85074271114007316</v>
      </c>
      <c r="BD72" s="127">
        <v>0.78727634426361626</v>
      </c>
    </row>
    <row r="73" spans="1:56" ht="20" customHeight="1" x14ac:dyDescent="0.2">
      <c r="A73" s="199"/>
      <c r="B73" s="123"/>
      <c r="C73" s="123"/>
      <c r="D73" s="123"/>
      <c r="E73" s="123"/>
      <c r="F73" s="123"/>
      <c r="G73" s="123"/>
      <c r="H73" s="123"/>
      <c r="I73" s="123"/>
      <c r="J73" s="153">
        <v>0.10063681616659882</v>
      </c>
      <c r="K73" s="154">
        <v>-0.63588558069665246</v>
      </c>
      <c r="L73" s="154">
        <v>9.377691607711959E-2</v>
      </c>
      <c r="M73" s="154">
        <v>-0.44095319067937722</v>
      </c>
      <c r="N73" s="155">
        <v>0.94273550215581114</v>
      </c>
      <c r="O73" s="156" t="s">
        <v>113</v>
      </c>
      <c r="P73" s="147">
        <v>0.99585160649210624</v>
      </c>
      <c r="Q73" s="147">
        <v>0.6820509189934002</v>
      </c>
      <c r="R73" s="147">
        <v>0.49361228723321926</v>
      </c>
      <c r="S73" s="123"/>
      <c r="T73" s="123"/>
      <c r="V73" s="123"/>
      <c r="W73" s="123"/>
      <c r="X73" s="123"/>
      <c r="Y73" s="123"/>
      <c r="Z73" s="123"/>
      <c r="AA73" s="123"/>
      <c r="AB73" s="123"/>
      <c r="AC73" s="123"/>
      <c r="AD73" s="123"/>
      <c r="AE73" s="147">
        <v>0.42263340983305386</v>
      </c>
      <c r="AF73" s="147">
        <v>0.64852758473031735</v>
      </c>
      <c r="AG73" s="147">
        <v>0.79107901553645243</v>
      </c>
      <c r="AH73" s="156" t="s">
        <v>113</v>
      </c>
      <c r="AI73" s="147">
        <v>3.3298657310154561E-3</v>
      </c>
      <c r="AJ73" s="147">
        <v>-0.22911647075337932</v>
      </c>
      <c r="AK73" s="147">
        <v>-0.26615436331797132</v>
      </c>
      <c r="AL73" s="156" t="s">
        <v>113</v>
      </c>
      <c r="AM73" s="153">
        <v>1.8107639711423679E-2</v>
      </c>
      <c r="AN73" s="154">
        <v>-5.6027543467249714E-3</v>
      </c>
      <c r="AO73" s="154">
        <v>5.6512876782814483E-2</v>
      </c>
      <c r="AP73" s="154">
        <v>-0.38270614396772329</v>
      </c>
      <c r="AQ73" s="155">
        <v>-0.49194096834033518</v>
      </c>
      <c r="AR73" s="123"/>
      <c r="AS73" s="123"/>
      <c r="AT73" s="123"/>
      <c r="AU73" s="123"/>
      <c r="AV73" s="123"/>
      <c r="AW73" s="123"/>
      <c r="AX73" s="123"/>
      <c r="AY73" s="128" t="s">
        <v>113</v>
      </c>
      <c r="AZ73" s="125">
        <v>9.8826052195456454E-2</v>
      </c>
      <c r="BA73" s="126">
        <v>-0.63532530526197994</v>
      </c>
      <c r="BB73" s="126">
        <v>8.8125628398838141E-2</v>
      </c>
      <c r="BC73" s="126">
        <v>-0.4026825762826049</v>
      </c>
      <c r="BD73" s="127">
        <v>0.99192959898984467</v>
      </c>
    </row>
    <row r="74" spans="1:56" ht="20" customHeight="1" x14ac:dyDescent="0.2">
      <c r="A74" s="199"/>
      <c r="B74" s="123"/>
      <c r="C74" s="123"/>
      <c r="D74" s="123"/>
      <c r="E74" s="123"/>
      <c r="F74" s="123"/>
      <c r="G74" s="123"/>
      <c r="H74" s="123"/>
      <c r="I74" s="123"/>
      <c r="J74" s="153">
        <v>0.64539114343285131</v>
      </c>
      <c r="K74" s="154">
        <v>-0.68752976122040954</v>
      </c>
      <c r="L74" s="154">
        <v>0.65395195716633236</v>
      </c>
      <c r="M74" s="154">
        <v>-3.7729901430473188E-2</v>
      </c>
      <c r="N74" s="155">
        <v>-0.83027226064544923</v>
      </c>
      <c r="O74" s="156" t="s">
        <v>113</v>
      </c>
      <c r="P74" s="147">
        <v>-0.65661814153915543</v>
      </c>
      <c r="Q74" s="147">
        <v>-0.8720704890715647</v>
      </c>
      <c r="R74" s="147">
        <v>-1.0436064849412021</v>
      </c>
      <c r="S74" s="123"/>
      <c r="T74" s="123"/>
      <c r="V74" s="123"/>
      <c r="W74" s="123"/>
      <c r="X74" s="123"/>
      <c r="Y74" s="123"/>
      <c r="Z74" s="123"/>
      <c r="AA74" s="123"/>
      <c r="AB74" s="123"/>
      <c r="AC74" s="123"/>
      <c r="AD74" s="123"/>
      <c r="AE74" s="147">
        <v>0.66809911319384707</v>
      </c>
      <c r="AF74" s="147">
        <v>0.50659972858419877</v>
      </c>
      <c r="AG74" s="147">
        <v>0.39267866457054834</v>
      </c>
      <c r="AH74" s="156" t="s">
        <v>113</v>
      </c>
      <c r="AI74" s="147">
        <v>6.2174191177613971E-3</v>
      </c>
      <c r="AJ74" s="147">
        <v>-0.21580672032035914</v>
      </c>
      <c r="AK74" s="147">
        <v>-0.13696273792416572</v>
      </c>
      <c r="AL74" s="156" t="s">
        <v>113</v>
      </c>
      <c r="AM74" s="153">
        <v>1.4219372594551086E-2</v>
      </c>
      <c r="AN74" s="154">
        <v>3.3241464910702036E-3</v>
      </c>
      <c r="AO74" s="154">
        <v>3.4467614157313024E-2</v>
      </c>
      <c r="AP74" s="154">
        <v>-0.26204911431024375</v>
      </c>
      <c r="AQ74" s="155">
        <v>-0.34655203912676347</v>
      </c>
      <c r="AR74" s="123"/>
      <c r="AS74" s="123"/>
      <c r="AT74" s="123"/>
      <c r="AU74" s="123"/>
      <c r="AV74" s="123"/>
      <c r="AW74" s="123"/>
      <c r="AX74" s="123"/>
      <c r="AY74" s="128" t="s">
        <v>113</v>
      </c>
      <c r="AZ74" s="125">
        <v>0.64396920617339615</v>
      </c>
      <c r="BA74" s="126">
        <v>-0.68786217586951659</v>
      </c>
      <c r="BB74" s="126">
        <v>0.65050519575060106</v>
      </c>
      <c r="BC74" s="126">
        <v>-1.1524989999448811E-2</v>
      </c>
      <c r="BD74" s="127">
        <v>-0.79561705673277294</v>
      </c>
    </row>
    <row r="75" spans="1:56" ht="20" customHeight="1" x14ac:dyDescent="0.2">
      <c r="A75" s="199"/>
      <c r="B75" s="123"/>
      <c r="C75" s="123"/>
      <c r="D75" s="123"/>
      <c r="E75" s="123"/>
      <c r="F75" s="123"/>
      <c r="G75" s="123"/>
      <c r="H75" s="123"/>
      <c r="I75" s="123"/>
      <c r="J75" s="153">
        <v>-0.95507293022765194</v>
      </c>
      <c r="K75" s="154">
        <v>7.4960550054755867E-2</v>
      </c>
      <c r="L75" s="154">
        <v>0.65962564896185916</v>
      </c>
      <c r="M75" s="154">
        <v>0.69178294314451327</v>
      </c>
      <c r="N75" s="155">
        <v>0.363109440975383</v>
      </c>
      <c r="O75" s="156" t="s">
        <v>113</v>
      </c>
      <c r="P75" s="147">
        <v>7.291430115763603E-2</v>
      </c>
      <c r="Q75" s="147">
        <v>0.81658719939277158</v>
      </c>
      <c r="R75" s="147">
        <v>0.89032532240164586</v>
      </c>
      <c r="S75" s="123"/>
      <c r="T75" s="123"/>
      <c r="V75" s="123"/>
      <c r="W75" s="123"/>
      <c r="X75" s="123"/>
      <c r="Y75" s="123"/>
      <c r="Z75" s="123"/>
      <c r="AA75" s="123"/>
      <c r="AB75" s="123"/>
      <c r="AC75" s="123"/>
      <c r="AD75" s="123"/>
      <c r="AE75" s="147">
        <v>0.99470229148927991</v>
      </c>
      <c r="AF75" s="147">
        <v>0.54679089271476533</v>
      </c>
      <c r="AG75" s="147">
        <v>0.49369036780874886</v>
      </c>
      <c r="AH75" s="156" t="s">
        <v>113</v>
      </c>
      <c r="AI75" s="147">
        <v>1.4005897909880051E-2</v>
      </c>
      <c r="AJ75" s="147">
        <v>1.2319777642054478E-2</v>
      </c>
      <c r="AK75" s="147">
        <v>-2.1859465315349469E-3</v>
      </c>
      <c r="AL75" s="156" t="s">
        <v>113</v>
      </c>
      <c r="AM75" s="153">
        <v>3.3180422771024991E-3</v>
      </c>
      <c r="AN75" s="154">
        <v>-1.4174563058058825E-3</v>
      </c>
      <c r="AO75" s="154">
        <v>-7.7341741760333059E-4</v>
      </c>
      <c r="AP75" s="154">
        <v>6.0065481398045928E-3</v>
      </c>
      <c r="AQ75" s="155">
        <v>2.4139729020399583E-2</v>
      </c>
      <c r="AR75" s="123"/>
      <c r="AS75" s="123"/>
      <c r="AT75" s="123"/>
      <c r="AU75" s="123"/>
      <c r="AV75" s="123"/>
      <c r="AW75" s="123"/>
      <c r="AX75" s="123"/>
      <c r="AY75" s="128" t="s">
        <v>113</v>
      </c>
      <c r="AZ75" s="125">
        <v>-0.95540473445536223</v>
      </c>
      <c r="BA75" s="126">
        <v>7.5102295685336454E-2</v>
      </c>
      <c r="BB75" s="126">
        <v>0.65970299070361949</v>
      </c>
      <c r="BC75" s="126">
        <v>0.69118228833053286</v>
      </c>
      <c r="BD75" s="127">
        <v>0.36069546807334302</v>
      </c>
    </row>
    <row r="76" spans="1:56" ht="20" customHeight="1" x14ac:dyDescent="0.2">
      <c r="A76" s="199"/>
      <c r="B76" s="123"/>
      <c r="C76" s="123"/>
      <c r="D76" s="123"/>
      <c r="E76" s="123"/>
      <c r="F76" s="123"/>
      <c r="G76" s="123"/>
      <c r="H76" s="123"/>
      <c r="I76" s="123"/>
      <c r="J76" s="153">
        <v>-0.23664670150291431</v>
      </c>
      <c r="K76" s="154">
        <v>0.17418853904291218</v>
      </c>
      <c r="L76" s="154">
        <v>0.38823164606733379</v>
      </c>
      <c r="M76" s="154">
        <v>0.44685566207557553</v>
      </c>
      <c r="N76" s="155">
        <v>0.47608422939644324</v>
      </c>
      <c r="O76" s="156" t="s">
        <v>113</v>
      </c>
      <c r="P76" s="147">
        <v>0.3866127865287361</v>
      </c>
      <c r="Q76" s="147">
        <v>0.74858558538663456</v>
      </c>
      <c r="R76" s="147">
        <v>0.8202562766859689</v>
      </c>
      <c r="S76" s="123"/>
      <c r="T76" s="123"/>
      <c r="V76" s="123"/>
      <c r="W76" s="123"/>
      <c r="X76" s="123"/>
      <c r="Y76" s="123"/>
      <c r="Z76" s="123"/>
      <c r="AA76" s="123"/>
      <c r="AB76" s="123"/>
      <c r="AC76" s="123"/>
      <c r="AD76" s="123"/>
      <c r="AE76" s="147">
        <v>0.86425456527565392</v>
      </c>
      <c r="AF76" s="147">
        <v>0.59765796045612885</v>
      </c>
      <c r="AG76" s="147">
        <v>0.54409235102174169</v>
      </c>
      <c r="AH76" s="156" t="s">
        <v>113</v>
      </c>
      <c r="AI76" s="147">
        <v>8.4308864880872254E-3</v>
      </c>
      <c r="AJ76" s="147">
        <v>-6.9556020108242272E-2</v>
      </c>
      <c r="AK76" s="147">
        <v>-7.1117542300681222E-2</v>
      </c>
      <c r="AL76" s="156" t="s">
        <v>113</v>
      </c>
      <c r="AM76" s="153">
        <v>7.1538774645657837E-3</v>
      </c>
      <c r="AN76" s="154">
        <v>-1.199032022856733E-3</v>
      </c>
      <c r="AO76" s="154">
        <v>1.5335831259159481E-2</v>
      </c>
      <c r="AP76" s="154">
        <v>-0.10794796502202199</v>
      </c>
      <c r="AQ76" s="155">
        <v>-0.13224267592083627</v>
      </c>
      <c r="AR76" s="123"/>
      <c r="AS76" s="123"/>
      <c r="AT76" s="123"/>
      <c r="AU76" s="123"/>
      <c r="AV76" s="123"/>
      <c r="AW76" s="123"/>
      <c r="AX76" s="123"/>
      <c r="AY76" s="128" t="s">
        <v>113</v>
      </c>
      <c r="AZ76" s="125">
        <v>-0.23736208924937088</v>
      </c>
      <c r="BA76" s="126">
        <v>0.17430844224519784</v>
      </c>
      <c r="BB76" s="126">
        <v>0.38669806294141784</v>
      </c>
      <c r="BC76" s="126">
        <v>0.45765045857777775</v>
      </c>
      <c r="BD76" s="127">
        <v>0.48930849698852685</v>
      </c>
    </row>
    <row r="77" spans="1:56" ht="20" customHeight="1" x14ac:dyDescent="0.2">
      <c r="A77" s="199"/>
      <c r="B77" s="123"/>
      <c r="C77" s="123"/>
      <c r="D77" s="123"/>
      <c r="E77" s="123"/>
      <c r="F77" s="123"/>
      <c r="G77" s="123"/>
      <c r="H77" s="123"/>
      <c r="I77" s="123"/>
      <c r="J77" s="153">
        <v>0.9788114136695214</v>
      </c>
      <c r="K77" s="154">
        <v>-0.10571381865920085</v>
      </c>
      <c r="L77" s="154">
        <v>-0.79353689453575438</v>
      </c>
      <c r="M77" s="154">
        <v>-0.68110899501087308</v>
      </c>
      <c r="N77" s="155">
        <v>-0.20108659593599409</v>
      </c>
      <c r="O77" s="156" t="s">
        <v>113</v>
      </c>
      <c r="P77" s="147">
        <v>0.10035462315182425</v>
      </c>
      <c r="Q77" s="147">
        <v>-0.63881994509505891</v>
      </c>
      <c r="R77" s="147">
        <v>-0.70019589780208724</v>
      </c>
      <c r="S77" s="123"/>
      <c r="T77" s="123"/>
      <c r="V77" s="123"/>
      <c r="W77" s="123"/>
      <c r="X77" s="123"/>
      <c r="Y77" s="123"/>
      <c r="Z77" s="123"/>
      <c r="AA77" s="123"/>
      <c r="AB77" s="123"/>
      <c r="AC77" s="123"/>
      <c r="AD77" s="123"/>
      <c r="AE77" s="147">
        <v>0.98999618310990201</v>
      </c>
      <c r="AF77" s="147">
        <v>0.68179623140914059</v>
      </c>
      <c r="AG77" s="147">
        <v>0.63458929319580726</v>
      </c>
      <c r="AH77" s="156" t="s">
        <v>113</v>
      </c>
      <c r="AI77" s="147">
        <v>-1.8326051203792767E-2</v>
      </c>
      <c r="AJ77" s="147">
        <v>0.37987210265717203</v>
      </c>
      <c r="AK77" s="147">
        <v>0.27422348496166793</v>
      </c>
      <c r="AL77" s="156" t="s">
        <v>113</v>
      </c>
      <c r="AM77" s="153">
        <v>-2.8051610372466229E-2</v>
      </c>
      <c r="AN77" s="154">
        <v>-3.0786976571543188E-3</v>
      </c>
      <c r="AO77" s="154">
        <v>-6.5879668871085151E-2</v>
      </c>
      <c r="AP77" s="154">
        <v>0.49011330326623059</v>
      </c>
      <c r="AQ77" s="155">
        <v>0.63576953641504719</v>
      </c>
      <c r="AR77" s="123"/>
      <c r="AS77" s="123"/>
      <c r="AT77" s="123"/>
      <c r="AU77" s="123"/>
      <c r="AV77" s="123"/>
      <c r="AW77" s="123"/>
      <c r="AX77" s="123"/>
      <c r="AY77" s="128" t="s">
        <v>113</v>
      </c>
      <c r="AZ77" s="125">
        <v>0.981616574706768</v>
      </c>
      <c r="BA77" s="126">
        <v>-0.10540594889348541</v>
      </c>
      <c r="BB77" s="126">
        <v>-0.78694892764864588</v>
      </c>
      <c r="BC77" s="126">
        <v>-0.73012032533749616</v>
      </c>
      <c r="BD77" s="127">
        <v>-0.26466354957749882</v>
      </c>
    </row>
    <row r="78" spans="1:56" ht="20" customHeight="1" x14ac:dyDescent="0.2">
      <c r="A78" s="199"/>
      <c r="B78" s="123"/>
      <c r="C78" s="123"/>
      <c r="D78" s="123"/>
      <c r="E78" s="123"/>
      <c r="F78" s="123"/>
      <c r="G78" s="123"/>
      <c r="H78" s="123"/>
      <c r="I78" s="123"/>
      <c r="J78" s="153">
        <v>-0.74863149553441011</v>
      </c>
      <c r="K78" s="154">
        <v>0.53182202272591472</v>
      </c>
      <c r="L78" s="154">
        <v>0.19605317866479155</v>
      </c>
      <c r="M78" s="154">
        <v>0.56334306115772004</v>
      </c>
      <c r="N78" s="155">
        <v>-0.29196166410956287</v>
      </c>
      <c r="O78" s="156" t="s">
        <v>113</v>
      </c>
      <c r="P78" s="148">
        <v>-0.52507457665733093</v>
      </c>
      <c r="Q78" s="148">
        <v>6.4928061322959529E-2</v>
      </c>
      <c r="R78" s="148">
        <v>0.22843329887472669</v>
      </c>
      <c r="S78" s="123"/>
      <c r="T78" s="149" t="str">
        <f>HYPERLINK("#Blueprint!torchcode", "&lt;/&gt;")</f>
        <v>&lt;/&gt;</v>
      </c>
      <c r="V78" s="149" t="str">
        <f>HYPERLINK("#Blueprint!torchcode", "&lt;/&gt;")</f>
        <v>&lt;/&gt;</v>
      </c>
      <c r="W78" s="123"/>
      <c r="X78" s="123"/>
      <c r="Y78" s="123"/>
      <c r="Z78" s="123"/>
      <c r="AA78" s="123"/>
      <c r="AB78" s="123"/>
      <c r="AC78" s="123"/>
      <c r="AD78" s="123"/>
      <c r="AE78" s="148">
        <v>0.76805462110278611</v>
      </c>
      <c r="AF78" s="148">
        <v>0.99579616643294266</v>
      </c>
      <c r="AG78" s="148">
        <v>0.9495812644860796</v>
      </c>
      <c r="AH78" s="156" t="s">
        <v>113</v>
      </c>
      <c r="AI78" s="148">
        <v>-3.3234273960515768E-3</v>
      </c>
      <c r="AJ78" s="148">
        <v>0.11637246748541845</v>
      </c>
      <c r="AK78" s="148">
        <v>0.14868855160120628</v>
      </c>
      <c r="AL78" s="156" t="s">
        <v>113</v>
      </c>
      <c r="AM78" s="153">
        <v>-1.0063824473236546E-2</v>
      </c>
      <c r="AN78" s="154">
        <v>3.9313577073339396E-3</v>
      </c>
      <c r="AO78" s="154">
        <v>-3.0869387976769892E-2</v>
      </c>
      <c r="AP78" s="154">
        <v>0.20611030149000897</v>
      </c>
      <c r="AQ78" s="155">
        <v>0.26173759169057315</v>
      </c>
      <c r="AR78" s="123"/>
      <c r="AS78" s="123"/>
      <c r="AT78" s="123"/>
      <c r="AU78" s="123"/>
      <c r="AV78" s="123"/>
      <c r="AW78" s="123"/>
      <c r="AX78" s="123"/>
      <c r="AY78" s="128" t="s">
        <v>113</v>
      </c>
      <c r="AZ78" s="125">
        <v>-0.74762511308708646</v>
      </c>
      <c r="BA78" s="126">
        <v>0.53142888695518131</v>
      </c>
      <c r="BB78" s="126">
        <v>0.19914011746246854</v>
      </c>
      <c r="BC78" s="126">
        <v>0.54273203100871914</v>
      </c>
      <c r="BD78" s="127">
        <v>-0.31813542327862021</v>
      </c>
    </row>
    <row r="79" spans="1:56" ht="20" customHeight="1" x14ac:dyDescent="0.2">
      <c r="A79" s="199"/>
      <c r="B79" s="123"/>
      <c r="C79" s="123"/>
      <c r="D79" s="123"/>
      <c r="E79" s="123"/>
      <c r="F79" s="123"/>
      <c r="G79" s="123"/>
      <c r="H79" s="123"/>
      <c r="I79" s="123"/>
      <c r="J79" s="123"/>
      <c r="K79" s="123"/>
      <c r="L79" s="123"/>
      <c r="M79" s="123"/>
      <c r="N79" s="123"/>
      <c r="O79" s="123"/>
      <c r="P79" s="123"/>
      <c r="Q79" s="123"/>
      <c r="R79" s="123"/>
      <c r="S79" s="123"/>
      <c r="T79" s="150" t="str">
        <f>HYPERLINK("#X", "▲")</f>
        <v>▲</v>
      </c>
      <c r="V79" s="150" t="str">
        <f>HYPERLINK("#X", "▲")</f>
        <v>▲</v>
      </c>
      <c r="W79" s="123"/>
      <c r="X79" s="123"/>
      <c r="Y79" s="123"/>
      <c r="Z79" s="123"/>
      <c r="AA79" s="123"/>
      <c r="AB79" s="123"/>
      <c r="AC79" s="123"/>
      <c r="AD79" s="123"/>
      <c r="AE79" s="123"/>
      <c r="AF79" s="123"/>
      <c r="AG79" s="123"/>
      <c r="AH79" s="123"/>
      <c r="AI79" s="123"/>
      <c r="AJ79" s="123"/>
      <c r="AK79" s="123"/>
      <c r="AL79" s="123"/>
      <c r="AM79" s="123"/>
      <c r="AN79" s="123"/>
      <c r="AO79" s="123"/>
      <c r="AP79" s="123"/>
      <c r="AQ79" s="123"/>
      <c r="AR79" s="123"/>
      <c r="AS79" s="123"/>
      <c r="AT79" s="123"/>
      <c r="AU79" s="123"/>
      <c r="AV79" s="123"/>
      <c r="AW79" s="123"/>
      <c r="AX79" s="123"/>
    </row>
    <row r="80" spans="1:56" ht="20" customHeight="1" x14ac:dyDescent="0.2">
      <c r="P80" s="143" t="s">
        <v>117</v>
      </c>
      <c r="Q80" s="143" t="s">
        <v>117</v>
      </c>
      <c r="R80" s="143" t="s">
        <v>117</v>
      </c>
      <c r="AI80" s="160" t="s">
        <v>128</v>
      </c>
      <c r="AJ80" s="160" t="s">
        <v>128</v>
      </c>
      <c r="AK80" s="160" t="s">
        <v>128</v>
      </c>
    </row>
    <row r="81" spans="1:50" ht="20" customHeight="1" x14ac:dyDescent="0.2">
      <c r="A81" s="198" t="s">
        <v>253</v>
      </c>
      <c r="B81" s="130"/>
      <c r="C81" s="130"/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1" t="s">
        <v>250</v>
      </c>
      <c r="Q81" s="130"/>
      <c r="R81" s="130"/>
      <c r="S81" s="130"/>
      <c r="T81" s="130"/>
      <c r="V81" s="130"/>
      <c r="W81" s="130"/>
      <c r="X81" s="130"/>
      <c r="Y81" s="130"/>
      <c r="Z81" s="130"/>
      <c r="AA81" s="130"/>
      <c r="AB81" s="130"/>
      <c r="AC81" s="130"/>
      <c r="AD81" s="130"/>
      <c r="AE81" s="130"/>
      <c r="AF81" s="130"/>
      <c r="AG81" s="130"/>
      <c r="AH81" s="130"/>
      <c r="AI81" s="131" t="s">
        <v>214</v>
      </c>
      <c r="AJ81" s="130"/>
      <c r="AK81" s="130"/>
      <c r="AL81" s="130"/>
      <c r="AM81" s="130"/>
      <c r="AN81" s="130"/>
      <c r="AO81" s="130"/>
      <c r="AP81" s="130"/>
      <c r="AQ81" s="130"/>
      <c r="AR81" s="130"/>
      <c r="AS81" s="130"/>
      <c r="AT81" s="130"/>
      <c r="AU81" s="130"/>
      <c r="AV81" s="130"/>
      <c r="AW81" s="130"/>
      <c r="AX81" s="130"/>
    </row>
    <row r="82" spans="1:50" ht="20" customHeight="1" x14ac:dyDescent="0.2">
      <c r="A82" s="198"/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3" t="s">
        <v>122</v>
      </c>
      <c r="Q82" s="130"/>
      <c r="R82" s="130"/>
      <c r="S82" s="130"/>
      <c r="T82" s="130"/>
      <c r="V82" s="130"/>
      <c r="W82" s="130"/>
      <c r="X82" s="130"/>
      <c r="Y82" s="130"/>
      <c r="Z82" s="130"/>
      <c r="AA82" s="130"/>
      <c r="AB82" s="130"/>
      <c r="AC82" s="130"/>
      <c r="AD82" s="130"/>
      <c r="AE82" s="130"/>
      <c r="AF82" s="130"/>
      <c r="AG82" s="162" t="s">
        <v>296</v>
      </c>
      <c r="AH82" s="130"/>
      <c r="AI82" s="133" t="s">
        <v>297</v>
      </c>
      <c r="AJ82" s="130"/>
      <c r="AK82" s="130"/>
      <c r="AL82" s="130"/>
      <c r="AM82" s="130"/>
      <c r="AN82" s="130"/>
      <c r="AO82" s="130"/>
      <c r="AP82" s="130"/>
      <c r="AQ82" s="130"/>
      <c r="AR82" s="130"/>
      <c r="AS82" s="130"/>
      <c r="AT82" s="130"/>
      <c r="AU82" s="130"/>
      <c r="AV82" s="130"/>
      <c r="AW82" s="130"/>
      <c r="AX82" s="130"/>
    </row>
    <row r="83" spans="1:50" ht="20" customHeight="1" x14ac:dyDescent="0.2">
      <c r="A83" s="198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8" cm="1">
        <f t="array" ref="P83:R92">EXP(Blueprint_ep1!P69:R78)</f>
        <v>0.71392167543183249</v>
      </c>
      <c r="Q83" s="138">
        <v>0.58114946994973438</v>
      </c>
      <c r="R83" s="138">
        <v>0.45380773231813287</v>
      </c>
      <c r="S83" s="130"/>
      <c r="T83" s="130"/>
      <c r="V83" s="130"/>
      <c r="W83" s="130"/>
      <c r="X83" s="130"/>
      <c r="Y83" s="130"/>
      <c r="Z83" s="134" cm="1">
        <f t="array" ref="Z83:AG93">TRANSPOSE(W_5)</f>
        <v>-0.45315949842042003</v>
      </c>
      <c r="AA83" s="135">
        <v>2.3885567826074674E-2</v>
      </c>
      <c r="AB83" s="135">
        <v>0.10476722439076955</v>
      </c>
      <c r="AC83" s="135">
        <v>0.67976362984434213</v>
      </c>
      <c r="AD83" s="135">
        <v>-0.10524276783689857</v>
      </c>
      <c r="AE83" s="135">
        <v>0.78321435577461118</v>
      </c>
      <c r="AF83" s="135">
        <v>0.61147017544135451</v>
      </c>
      <c r="AG83" s="136">
        <v>-0.59269132414249059</v>
      </c>
      <c r="AH83" s="137" t="s">
        <v>113</v>
      </c>
      <c r="AI83" s="138" cm="1">
        <f t="array" ref="AI83:AK92">_xlfn.DROP(MMULT(W_5T, G_5), -1)</f>
        <v>-1.1841265956177034E-2</v>
      </c>
      <c r="AJ83" s="138">
        <v>3.8900278000025365E-2</v>
      </c>
      <c r="AK83" s="138">
        <v>7.2257373908868466E-3</v>
      </c>
      <c r="AL83" s="130"/>
      <c r="AM83" s="130"/>
      <c r="AN83" s="130"/>
      <c r="AO83" s="130"/>
      <c r="AP83" s="130"/>
      <c r="AQ83" s="130"/>
      <c r="AR83" s="130"/>
      <c r="AS83" s="130"/>
      <c r="AT83" s="130"/>
      <c r="AU83" s="130"/>
      <c r="AV83" s="130"/>
      <c r="AW83" s="130"/>
      <c r="AX83" s="130"/>
    </row>
    <row r="84" spans="1:50" ht="20" customHeight="1" x14ac:dyDescent="0.2">
      <c r="A84" s="198"/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9">
        <v>2.1324852314596026</v>
      </c>
      <c r="Q84" s="139">
        <v>4.8476479158929653</v>
      </c>
      <c r="R84" s="139">
        <v>5.9976821465078194</v>
      </c>
      <c r="S84" s="130"/>
      <c r="T84" s="130"/>
      <c r="V84" s="130"/>
      <c r="W84" s="130"/>
      <c r="X84" s="130"/>
      <c r="Y84" s="130"/>
      <c r="Z84" s="134">
        <v>-0.88284015061045507</v>
      </c>
      <c r="AA84" s="135">
        <v>0.24475272096435285</v>
      </c>
      <c r="AB84" s="135">
        <v>-0.48865950850630185</v>
      </c>
      <c r="AC84" s="135">
        <v>0.38147412810269959</v>
      </c>
      <c r="AD84" s="135">
        <v>-0.74599776789546013</v>
      </c>
      <c r="AE84" s="135">
        <v>0.88458425136161412</v>
      </c>
      <c r="AF84" s="135">
        <v>-0.13408753369003534</v>
      </c>
      <c r="AG84" s="136">
        <v>-0.52707841815863243</v>
      </c>
      <c r="AH84" s="137" t="s">
        <v>113</v>
      </c>
      <c r="AI84" s="139">
        <v>-1.3386301668157689E-2</v>
      </c>
      <c r="AJ84" s="139">
        <v>0.21738756230315778</v>
      </c>
      <c r="AK84" s="139">
        <v>0.14611073450843831</v>
      </c>
      <c r="AL84" s="130"/>
      <c r="AM84" s="130"/>
      <c r="AN84" s="130"/>
      <c r="AO84" s="130"/>
      <c r="AP84" s="130"/>
      <c r="AQ84" s="130"/>
      <c r="AR84" s="130"/>
      <c r="AS84" s="130"/>
      <c r="AT84" s="130"/>
      <c r="AU84" s="130"/>
      <c r="AV84" s="130"/>
      <c r="AW84" s="130"/>
      <c r="AX84" s="130"/>
    </row>
    <row r="85" spans="1:50" ht="20" customHeight="1" x14ac:dyDescent="0.2">
      <c r="A85" s="198"/>
      <c r="B85" s="130"/>
      <c r="C85" s="130"/>
      <c r="D85" s="130"/>
      <c r="E85" s="130"/>
      <c r="F85" s="130"/>
      <c r="G85" s="130"/>
      <c r="H85" s="130"/>
      <c r="I85" s="130"/>
      <c r="J85" s="130"/>
      <c r="K85" s="130"/>
      <c r="L85" s="130"/>
      <c r="M85" s="130"/>
      <c r="N85" s="130"/>
      <c r="O85" s="130"/>
      <c r="P85" s="139">
        <v>1.4020598331873415</v>
      </c>
      <c r="Q85" s="139">
        <v>1.8297308465471043</v>
      </c>
      <c r="R85" s="139">
        <v>2.0565538570587445</v>
      </c>
      <c r="S85" s="130"/>
      <c r="T85" s="130"/>
      <c r="V85" s="130"/>
      <c r="W85" s="130"/>
      <c r="X85" s="130"/>
      <c r="Y85" s="130"/>
      <c r="Z85" s="134">
        <v>0.11575559407206036</v>
      </c>
      <c r="AA85" s="135">
        <v>0.69790771199209356</v>
      </c>
      <c r="AB85" s="135">
        <v>0.88189285284612362</v>
      </c>
      <c r="AC85" s="135">
        <v>-0.22637485356120193</v>
      </c>
      <c r="AD85" s="135">
        <v>0.53752975491806865</v>
      </c>
      <c r="AE85" s="135">
        <v>-0.63213500319496552</v>
      </c>
      <c r="AF85" s="135">
        <v>0.42012053960934281</v>
      </c>
      <c r="AG85" s="136">
        <v>0.40041313952721252</v>
      </c>
      <c r="AH85" s="137" t="s">
        <v>113</v>
      </c>
      <c r="AI85" s="139">
        <v>1.005053200124835E-2</v>
      </c>
      <c r="AJ85" s="139">
        <v>8.141169510036049E-2</v>
      </c>
      <c r="AK85" s="139">
        <v>0.10057306928650997</v>
      </c>
      <c r="AL85" s="130"/>
      <c r="AM85" s="130"/>
      <c r="AN85" s="130"/>
      <c r="AO85" s="130"/>
      <c r="AP85" s="130"/>
      <c r="AQ85" s="130"/>
      <c r="AR85" s="130"/>
      <c r="AS85" s="130"/>
      <c r="AT85" s="130"/>
      <c r="AU85" s="130"/>
      <c r="AV85" s="130"/>
      <c r="AW85" s="130"/>
      <c r="AX85" s="130"/>
    </row>
    <row r="86" spans="1:50" ht="20" customHeight="1" x14ac:dyDescent="0.2">
      <c r="A86" s="198"/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9">
        <v>1.7356169657473577</v>
      </c>
      <c r="Q86" s="139">
        <v>3.9866061303778704</v>
      </c>
      <c r="R86" s="139">
        <v>3.8648334131570699</v>
      </c>
      <c r="S86" s="130"/>
      <c r="T86" s="130"/>
      <c r="V86" s="130"/>
      <c r="W86" s="130"/>
      <c r="X86" s="130"/>
      <c r="Y86" s="130"/>
      <c r="Z86" s="134">
        <v>-0.60696598785647915</v>
      </c>
      <c r="AA86" s="135">
        <v>0.15653811953982683</v>
      </c>
      <c r="AB86" s="135">
        <v>0.63694189932437928</v>
      </c>
      <c r="AC86" s="135">
        <v>0.18982548145204833</v>
      </c>
      <c r="AD86" s="135">
        <v>0.18744094390422106</v>
      </c>
      <c r="AE86" s="135">
        <v>0.7171783219465987</v>
      </c>
      <c r="AF86" s="135">
        <v>-0.38667081296443939</v>
      </c>
      <c r="AG86" s="136">
        <v>0.78052052178197218</v>
      </c>
      <c r="AH86" s="137" t="s">
        <v>113</v>
      </c>
      <c r="AI86" s="139">
        <v>2.924815768388221E-3</v>
      </c>
      <c r="AJ86" s="139">
        <v>7.1658202440672253E-2</v>
      </c>
      <c r="AK86" s="139">
        <v>3.6809676003015795E-2</v>
      </c>
      <c r="AL86" s="130"/>
      <c r="AM86" s="130"/>
      <c r="AN86" s="130"/>
      <c r="AO86" s="130"/>
      <c r="AP86" s="130"/>
      <c r="AQ86" s="130"/>
      <c r="AR86" s="130"/>
      <c r="AS86" s="130"/>
      <c r="AT86" s="130"/>
      <c r="AU86" s="130"/>
      <c r="AV86" s="130"/>
      <c r="AW86" s="130"/>
      <c r="AX86" s="130"/>
    </row>
    <row r="87" spans="1:50" ht="20" customHeight="1" x14ac:dyDescent="0.2">
      <c r="A87" s="198"/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9">
        <v>2.7070286831448245</v>
      </c>
      <c r="Q87" s="139">
        <v>1.977930149731677</v>
      </c>
      <c r="R87" s="139">
        <v>1.6382232775684573</v>
      </c>
      <c r="S87" s="130"/>
      <c r="T87" s="130"/>
      <c r="V87" s="130"/>
      <c r="W87" s="130"/>
      <c r="X87" s="130"/>
      <c r="Y87" s="130"/>
      <c r="Z87" s="134">
        <v>-0.27735400453368109</v>
      </c>
      <c r="AA87" s="135">
        <v>-0.83942036011957943</v>
      </c>
      <c r="AB87" s="135">
        <v>-0.6921128084956234</v>
      </c>
      <c r="AC87" s="135">
        <v>0.40520981235682241</v>
      </c>
      <c r="AD87" s="135">
        <v>0.60928811924532056</v>
      </c>
      <c r="AE87" s="135">
        <v>0.15182164863111339</v>
      </c>
      <c r="AF87" s="135">
        <v>-0.76281368779018521</v>
      </c>
      <c r="AG87" s="136">
        <v>0.64281041274672102</v>
      </c>
      <c r="AH87" s="137" t="s">
        <v>113</v>
      </c>
      <c r="AI87" s="139">
        <v>7.878851159284354E-3</v>
      </c>
      <c r="AJ87" s="139">
        <v>-0.35328716333423926</v>
      </c>
      <c r="AK87" s="139">
        <v>-0.33644472687407179</v>
      </c>
      <c r="AL87" s="130"/>
      <c r="AM87" s="130"/>
      <c r="AN87" s="130"/>
      <c r="AO87" s="130"/>
      <c r="AP87" s="130"/>
      <c r="AQ87" s="130"/>
      <c r="AR87" s="130"/>
      <c r="AS87" s="130"/>
      <c r="AT87" s="130"/>
      <c r="AU87" s="130"/>
      <c r="AV87" s="130"/>
      <c r="AW87" s="130"/>
      <c r="AX87" s="130"/>
    </row>
    <row r="88" spans="1:50" ht="20" customHeight="1" x14ac:dyDescent="0.2">
      <c r="A88" s="198"/>
      <c r="B88" s="130"/>
      <c r="C88" s="130"/>
      <c r="D88" s="130"/>
      <c r="E88" s="130"/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139">
        <v>0.51860221149061869</v>
      </c>
      <c r="Q88" s="139">
        <v>0.41808501203089032</v>
      </c>
      <c r="R88" s="139">
        <v>0.35218224885549415</v>
      </c>
      <c r="S88" s="130"/>
      <c r="T88" s="130"/>
      <c r="V88" s="130"/>
      <c r="W88" s="130"/>
      <c r="X88" s="130"/>
      <c r="Y88" s="130"/>
      <c r="Z88" s="134">
        <v>-0.89615727141139578</v>
      </c>
      <c r="AA88" s="135">
        <v>-0.68680649356261481</v>
      </c>
      <c r="AB88" s="135">
        <v>0.66442992125486511</v>
      </c>
      <c r="AC88" s="135">
        <v>0.40683482600655652</v>
      </c>
      <c r="AD88" s="135">
        <v>-0.2211772371083498</v>
      </c>
      <c r="AE88" s="135">
        <v>-0.30402986588566883</v>
      </c>
      <c r="AF88" s="135">
        <v>1.8466987647116184E-2</v>
      </c>
      <c r="AG88" s="136">
        <v>0.37883595417118576</v>
      </c>
      <c r="AH88" s="137" t="s">
        <v>113</v>
      </c>
      <c r="AI88" s="139">
        <v>9.306132870075267E-3</v>
      </c>
      <c r="AJ88" s="139">
        <v>-0.42599059601448491</v>
      </c>
      <c r="AK88" s="139">
        <v>-0.34879088242279355</v>
      </c>
      <c r="AL88" s="130"/>
      <c r="AM88" s="130"/>
      <c r="AN88" s="130"/>
      <c r="AO88" s="130"/>
      <c r="AP88" s="130"/>
      <c r="AQ88" s="130"/>
      <c r="AR88" s="130"/>
      <c r="AS88" s="130"/>
      <c r="AT88" s="130"/>
      <c r="AU88" s="130"/>
      <c r="AV88" s="130"/>
      <c r="AW88" s="130"/>
      <c r="AX88" s="130"/>
    </row>
    <row r="89" spans="1:50" ht="20" customHeight="1" x14ac:dyDescent="0.2">
      <c r="A89" s="198"/>
      <c r="B89" s="130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9">
        <v>1.0756383520031207</v>
      </c>
      <c r="Q89" s="139">
        <v>2.262764281770997</v>
      </c>
      <c r="R89" s="139">
        <v>2.4359219823908913</v>
      </c>
      <c r="S89" s="130"/>
      <c r="T89" s="130"/>
      <c r="V89" s="130"/>
      <c r="W89" s="130"/>
      <c r="X89" s="130"/>
      <c r="Y89" s="130"/>
      <c r="Z89" s="134">
        <v>-0.14351442044214677</v>
      </c>
      <c r="AA89" s="135">
        <v>0.8726688147117081</v>
      </c>
      <c r="AB89" s="135">
        <v>-7.1093600347717362E-2</v>
      </c>
      <c r="AC89" s="135">
        <v>0.45053263862338078</v>
      </c>
      <c r="AD89" s="135">
        <v>-0.56846183026209474</v>
      </c>
      <c r="AE89" s="135">
        <v>-0.39162082242732305</v>
      </c>
      <c r="AF89" s="135">
        <v>-0.76525073824450374</v>
      </c>
      <c r="AG89" s="136">
        <v>0.69203692712105958</v>
      </c>
      <c r="AH89" s="137" t="s">
        <v>113</v>
      </c>
      <c r="AI89" s="139">
        <v>1.4080492253526687E-2</v>
      </c>
      <c r="AJ89" s="139">
        <v>2.2531058593327956E-2</v>
      </c>
      <c r="AK89" s="139">
        <v>-4.42776824112915E-3</v>
      </c>
      <c r="AL89" s="130"/>
      <c r="AM89" s="130"/>
      <c r="AN89" s="130"/>
      <c r="AO89" s="130"/>
      <c r="AP89" s="130"/>
      <c r="AQ89" s="130"/>
      <c r="AR89" s="130"/>
      <c r="AS89" s="130"/>
      <c r="AT89" s="130"/>
      <c r="AU89" s="130"/>
      <c r="AV89" s="130"/>
      <c r="AW89" s="130"/>
      <c r="AX89" s="130"/>
    </row>
    <row r="90" spans="1:50" ht="20" customHeight="1" x14ac:dyDescent="0.2">
      <c r="A90" s="198"/>
      <c r="B90" s="130"/>
      <c r="C90" s="130"/>
      <c r="D90" s="130"/>
      <c r="E90" s="130"/>
      <c r="F90" s="130"/>
      <c r="G90" s="130"/>
      <c r="H90" s="130"/>
      <c r="I90" s="130"/>
      <c r="J90" s="130"/>
      <c r="K90" s="130"/>
      <c r="L90" s="130"/>
      <c r="M90" s="130"/>
      <c r="N90" s="130"/>
      <c r="O90" s="130"/>
      <c r="P90" s="139">
        <v>1.4719864079416132</v>
      </c>
      <c r="Q90" s="139">
        <v>2.1140078174566308</v>
      </c>
      <c r="R90" s="139">
        <v>2.2710817882732801</v>
      </c>
      <c r="S90" s="130"/>
      <c r="T90" s="130"/>
      <c r="V90" s="130"/>
      <c r="W90" s="130"/>
      <c r="X90" s="130"/>
      <c r="Y90" s="130"/>
      <c r="Z90" s="134">
        <v>-0.80211392626686639</v>
      </c>
      <c r="AA90" s="135">
        <v>0.82322928673961815</v>
      </c>
      <c r="AB90" s="135">
        <v>-0.88306920804491551</v>
      </c>
      <c r="AC90" s="135">
        <v>0.99323560841225689</v>
      </c>
      <c r="AD90" s="135">
        <v>-0.45588106755167246</v>
      </c>
      <c r="AE90" s="135">
        <v>-0.75951792548645991</v>
      </c>
      <c r="AF90" s="135">
        <v>-0.51294048689305782</v>
      </c>
      <c r="AG90" s="136">
        <v>-0.18450527814894416</v>
      </c>
      <c r="AH90" s="137" t="s">
        <v>113</v>
      </c>
      <c r="AI90" s="139">
        <v>9.7550962723560453E-3</v>
      </c>
      <c r="AJ90" s="139">
        <v>-0.11638098161556747</v>
      </c>
      <c r="AK90" s="139">
        <v>-0.13070858681826864</v>
      </c>
      <c r="AL90" s="130"/>
      <c r="AM90" s="130"/>
      <c r="AN90" s="130"/>
      <c r="AO90" s="130"/>
      <c r="AP90" s="130"/>
      <c r="AQ90" s="130"/>
      <c r="AR90" s="130"/>
      <c r="AS90" s="130"/>
      <c r="AT90" s="130"/>
      <c r="AU90" s="130"/>
      <c r="AV90" s="130"/>
      <c r="AW90" s="130"/>
      <c r="AX90" s="130"/>
    </row>
    <row r="91" spans="1:50" ht="20" customHeight="1" x14ac:dyDescent="0.2">
      <c r="A91" s="198"/>
      <c r="B91" s="130"/>
      <c r="C91" s="130"/>
      <c r="D91" s="130"/>
      <c r="E91" s="130"/>
      <c r="F91" s="130"/>
      <c r="G91" s="130"/>
      <c r="H91" s="130"/>
      <c r="I91" s="130"/>
      <c r="J91" s="130"/>
      <c r="K91" s="130"/>
      <c r="L91" s="130"/>
      <c r="M91" s="130"/>
      <c r="N91" s="130"/>
      <c r="O91" s="130"/>
      <c r="P91" s="139">
        <v>1.1055629067699453</v>
      </c>
      <c r="Q91" s="139">
        <v>0.52791502533398316</v>
      </c>
      <c r="R91" s="139">
        <v>0.49648803334969188</v>
      </c>
      <c r="S91" s="130"/>
      <c r="T91" s="130"/>
      <c r="V91" s="130"/>
      <c r="W91" s="130"/>
      <c r="X91" s="130"/>
      <c r="Y91" s="130"/>
      <c r="Z91" s="134">
        <v>0.77067544207070282</v>
      </c>
      <c r="AA91" s="135">
        <v>0.79706200460221543</v>
      </c>
      <c r="AB91" s="135">
        <v>-0.95163020871513793</v>
      </c>
      <c r="AC91" s="135">
        <v>-0.10894443570614484</v>
      </c>
      <c r="AD91" s="135">
        <v>-0.96183050191029906</v>
      </c>
      <c r="AE91" s="135">
        <v>0.97408193075459693</v>
      </c>
      <c r="AF91" s="135">
        <v>0.20819027861580253</v>
      </c>
      <c r="AG91" s="136">
        <v>-0.70246633222185872</v>
      </c>
      <c r="AH91" s="137" t="s">
        <v>113</v>
      </c>
      <c r="AI91" s="139">
        <v>-1.8511234201150799E-2</v>
      </c>
      <c r="AJ91" s="139">
        <v>0.55716368785443426</v>
      </c>
      <c r="AK91" s="139">
        <v>0.4321275002618965</v>
      </c>
      <c r="AL91" s="130"/>
      <c r="AM91" s="130"/>
      <c r="AN91" s="130"/>
      <c r="AO91" s="130"/>
      <c r="AP91" s="130"/>
      <c r="AQ91" s="130"/>
      <c r="AR91" s="130"/>
      <c r="AS91" s="130"/>
      <c r="AT91" s="130"/>
      <c r="AU91" s="130"/>
      <c r="AV91" s="130"/>
      <c r="AW91" s="130"/>
      <c r="AX91" s="130"/>
    </row>
    <row r="92" spans="1:50" ht="20" customHeight="1" x14ac:dyDescent="0.2">
      <c r="A92" s="198"/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40">
        <v>0.59151124979009373</v>
      </c>
      <c r="Q92" s="140">
        <v>1.0670822571370868</v>
      </c>
      <c r="R92" s="140">
        <v>1.2566297037211476</v>
      </c>
      <c r="S92" s="130"/>
      <c r="T92" s="130"/>
      <c r="V92" s="130"/>
      <c r="W92" s="130"/>
      <c r="X92" s="130"/>
      <c r="Y92" s="130"/>
      <c r="Z92" s="134">
        <v>0.97665492572378054</v>
      </c>
      <c r="AA92" s="135">
        <v>9.3080160781360471E-2</v>
      </c>
      <c r="AB92" s="135">
        <v>7.2360248383199641E-2</v>
      </c>
      <c r="AC92" s="135">
        <v>-0.80213423995099231</v>
      </c>
      <c r="AD92" s="135">
        <v>-0.44405629485845566</v>
      </c>
      <c r="AE92" s="135">
        <v>-0.80166828906928567</v>
      </c>
      <c r="AF92" s="135">
        <v>0.39564891438931227</v>
      </c>
      <c r="AG92" s="136">
        <v>-0.74281822611144477</v>
      </c>
      <c r="AH92" s="137" t="s">
        <v>113</v>
      </c>
      <c r="AI92" s="140">
        <v>-4.3270716752927575E-3</v>
      </c>
      <c r="AJ92" s="140">
        <v>0.11686374321190462</v>
      </c>
      <c r="AK92" s="140">
        <v>0.15658328271849131</v>
      </c>
      <c r="AL92" s="130"/>
      <c r="AM92" s="130"/>
      <c r="AN92" s="130"/>
      <c r="AO92" s="130"/>
      <c r="AP92" s="130"/>
      <c r="AQ92" s="130"/>
      <c r="AR92" s="130"/>
      <c r="AS92" s="130"/>
      <c r="AT92" s="130"/>
      <c r="AU92" s="130"/>
      <c r="AV92" s="130"/>
      <c r="AW92" s="130"/>
      <c r="AX92" s="130"/>
    </row>
    <row r="93" spans="1:50" ht="20" customHeight="1" x14ac:dyDescent="0.2">
      <c r="A93" s="198"/>
      <c r="B93" s="130"/>
      <c r="C93" s="130"/>
      <c r="D93" s="130"/>
      <c r="E93" s="130"/>
      <c r="F93" s="130"/>
      <c r="G93" s="130"/>
      <c r="H93" s="130"/>
      <c r="I93" s="130"/>
      <c r="J93" s="130"/>
      <c r="K93" s="130"/>
      <c r="L93" s="130"/>
      <c r="M93" s="130"/>
      <c r="N93" s="130"/>
      <c r="O93" s="130"/>
      <c r="P93" s="133" t="s">
        <v>251</v>
      </c>
      <c r="Q93" s="130"/>
      <c r="R93" s="130"/>
      <c r="S93" s="130"/>
      <c r="T93" s="130"/>
      <c r="V93" s="130"/>
      <c r="W93" s="130"/>
      <c r="X93" s="130"/>
      <c r="Y93" s="130"/>
      <c r="Z93" s="134">
        <v>0.63870184070199199</v>
      </c>
      <c r="AA93" s="135">
        <v>-0.68248499924392325</v>
      </c>
      <c r="AB93" s="135">
        <v>0.65288758880761621</v>
      </c>
      <c r="AC93" s="135">
        <v>-0.59458200709986697</v>
      </c>
      <c r="AD93" s="135">
        <v>-0.33206332521513104</v>
      </c>
      <c r="AE93" s="135">
        <v>0.81388056819819399</v>
      </c>
      <c r="AF93" s="135">
        <v>-1.8640184309333563E-2</v>
      </c>
      <c r="AG93" s="136">
        <v>9.9710720961215665E-2</v>
      </c>
      <c r="AH93" s="130"/>
      <c r="AI93" s="130"/>
      <c r="AJ93" s="130"/>
      <c r="AK93" s="130"/>
      <c r="AL93" s="130"/>
      <c r="AM93" s="130"/>
      <c r="AN93" s="130"/>
      <c r="AO93" s="130"/>
      <c r="AP93" s="130"/>
      <c r="AQ93" s="130"/>
      <c r="AR93" s="130"/>
      <c r="AS93" s="130"/>
      <c r="AT93" s="130"/>
      <c r="AU93" s="130"/>
      <c r="AV93" s="130"/>
      <c r="AW93" s="130"/>
      <c r="AX93" s="130"/>
    </row>
    <row r="94" spans="1:50" ht="20" customHeight="1" x14ac:dyDescent="0.2">
      <c r="A94" s="198"/>
      <c r="B94" s="130"/>
      <c r="C94" s="130"/>
      <c r="D94" s="130"/>
      <c r="E94" s="130"/>
      <c r="F94" s="130"/>
      <c r="G94" s="130"/>
      <c r="H94" s="130"/>
      <c r="I94" s="130"/>
      <c r="J94" s="130"/>
      <c r="K94" s="130"/>
      <c r="L94" s="130"/>
      <c r="M94" s="130"/>
      <c r="N94" s="130"/>
      <c r="O94" s="130"/>
      <c r="P94" s="138" cm="1">
        <f t="array" ref="P94:R103">EXP(-Blueprint_ep1!P69:R78)</f>
        <v>1.4007138799856809</v>
      </c>
      <c r="Q94" s="138">
        <v>1.7207277158602476</v>
      </c>
      <c r="R94" s="138">
        <v>2.2035763800052881</v>
      </c>
      <c r="S94" s="130"/>
      <c r="T94" s="130"/>
      <c r="V94" s="130"/>
      <c r="W94" s="130"/>
      <c r="X94" s="130"/>
      <c r="Y94" s="130"/>
      <c r="Z94" s="130"/>
      <c r="AA94" s="130"/>
      <c r="AB94" s="130"/>
      <c r="AC94" s="130"/>
      <c r="AD94" s="130"/>
      <c r="AE94" s="130"/>
      <c r="AF94" s="130"/>
      <c r="AG94" s="130"/>
      <c r="AH94" s="130"/>
      <c r="AI94" s="130"/>
      <c r="AJ94" s="130"/>
      <c r="AK94" s="130"/>
      <c r="AL94" s="130"/>
      <c r="AM94" s="130"/>
      <c r="AN94" s="130"/>
      <c r="AO94" s="130"/>
      <c r="AP94" s="130"/>
      <c r="AQ94" s="130"/>
      <c r="AR94" s="130"/>
      <c r="AS94" s="130"/>
      <c r="AT94" s="130"/>
      <c r="AU94" s="130"/>
      <c r="AV94" s="130"/>
      <c r="AW94" s="130"/>
      <c r="AX94" s="130"/>
    </row>
    <row r="95" spans="1:50" ht="20" customHeight="1" x14ac:dyDescent="0.2">
      <c r="A95" s="198"/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9">
        <v>0.46893642462205432</v>
      </c>
      <c r="Q95" s="139">
        <v>0.20628560847447477</v>
      </c>
      <c r="R95" s="139">
        <v>0.16673107636793574</v>
      </c>
      <c r="S95" s="130"/>
      <c r="T95" s="130"/>
      <c r="V95" s="130"/>
      <c r="W95" s="130"/>
      <c r="X95" s="130"/>
      <c r="Y95" s="130"/>
      <c r="Z95" s="130"/>
      <c r="AA95" s="130"/>
      <c r="AB95" s="130"/>
      <c r="AC95" s="130"/>
      <c r="AD95" s="130"/>
      <c r="AE95" s="130"/>
      <c r="AF95" s="130"/>
      <c r="AG95" s="130"/>
      <c r="AH95" s="130"/>
      <c r="AI95" s="130"/>
      <c r="AJ95" s="130"/>
      <c r="AK95" s="130"/>
      <c r="AL95" s="130"/>
      <c r="AM95" s="130"/>
      <c r="AN95" s="130"/>
      <c r="AO95" s="130"/>
      <c r="AP95" s="130"/>
      <c r="AQ95" s="130"/>
      <c r="AR95" s="130"/>
      <c r="AS95" s="130"/>
      <c r="AT95" s="130"/>
      <c r="AU95" s="130"/>
      <c r="AV95" s="130"/>
      <c r="AW95" s="130"/>
      <c r="AX95" s="130"/>
    </row>
    <row r="96" spans="1:50" ht="20" customHeight="1" x14ac:dyDescent="0.2">
      <c r="A96" s="198"/>
      <c r="B96" s="130"/>
      <c r="C96" s="130"/>
      <c r="D96" s="130"/>
      <c r="E96" s="130"/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139">
        <v>0.71323632296538464</v>
      </c>
      <c r="Q96" s="139">
        <v>0.54652846995890458</v>
      </c>
      <c r="R96" s="139">
        <v>0.48625033405650098</v>
      </c>
      <c r="S96" s="130"/>
      <c r="T96" s="130"/>
      <c r="V96" s="130"/>
      <c r="W96" s="130"/>
      <c r="X96" s="130"/>
      <c r="Y96" s="130"/>
      <c r="Z96" s="130"/>
      <c r="AA96" s="130"/>
      <c r="AB96" s="130"/>
      <c r="AC96" s="130"/>
      <c r="AD96" s="130"/>
      <c r="AE96" s="130"/>
      <c r="AF96" s="130"/>
      <c r="AG96" s="130"/>
      <c r="AH96" s="130"/>
      <c r="AI96" s="130"/>
      <c r="AJ96" s="130"/>
      <c r="AK96" s="130"/>
      <c r="AL96" s="130"/>
      <c r="AM96" s="130"/>
      <c r="AN96" s="130"/>
      <c r="AO96" s="130"/>
      <c r="AP96" s="130"/>
      <c r="AQ96" s="130"/>
      <c r="AR96" s="130"/>
      <c r="AS96" s="130"/>
      <c r="AT96" s="130"/>
      <c r="AU96" s="130"/>
      <c r="AV96" s="130"/>
      <c r="AW96" s="130"/>
      <c r="AX96" s="130"/>
    </row>
    <row r="97" spans="1:50" ht="20" customHeight="1" x14ac:dyDescent="0.2">
      <c r="A97" s="198"/>
      <c r="B97" s="130"/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  <c r="N97" s="130"/>
      <c r="O97" s="130"/>
      <c r="P97" s="139">
        <v>0.5761639922489461</v>
      </c>
      <c r="Q97" s="139">
        <v>0.25083992932735871</v>
      </c>
      <c r="R97" s="139">
        <v>0.25874336435710149</v>
      </c>
      <c r="S97" s="130"/>
      <c r="T97" s="130"/>
      <c r="V97" s="130"/>
      <c r="W97" s="130"/>
      <c r="X97" s="130"/>
      <c r="Y97" s="130"/>
      <c r="Z97" s="130"/>
      <c r="AA97" s="130"/>
      <c r="AB97" s="130"/>
      <c r="AC97" s="130"/>
      <c r="AD97" s="130"/>
      <c r="AE97" s="130"/>
      <c r="AF97" s="130"/>
      <c r="AG97" s="130"/>
      <c r="AH97" s="130"/>
      <c r="AI97" s="130"/>
      <c r="AJ97" s="130"/>
      <c r="AK97" s="130"/>
      <c r="AL97" s="130"/>
      <c r="AM97" s="130"/>
      <c r="AN97" s="130"/>
      <c r="AO97" s="130"/>
      <c r="AP97" s="130"/>
      <c r="AQ97" s="130"/>
      <c r="AR97" s="130"/>
      <c r="AS97" s="130"/>
      <c r="AT97" s="130"/>
      <c r="AU97" s="130"/>
      <c r="AV97" s="130"/>
      <c r="AW97" s="130"/>
      <c r="AX97" s="130"/>
    </row>
    <row r="98" spans="1:50" ht="20" customHeight="1" x14ac:dyDescent="0.2">
      <c r="A98" s="198"/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9">
        <v>0.36940871968828731</v>
      </c>
      <c r="Q98" s="139">
        <v>0.50557902670913757</v>
      </c>
      <c r="R98" s="139">
        <v>0.61041740383780652</v>
      </c>
      <c r="S98" s="130"/>
      <c r="T98" s="130"/>
      <c r="V98" s="130"/>
      <c r="W98" s="130"/>
      <c r="X98" s="130"/>
      <c r="Y98" s="130"/>
      <c r="Z98" s="130"/>
      <c r="AA98" s="130"/>
      <c r="AB98" s="130"/>
      <c r="AC98" s="130"/>
      <c r="AD98" s="130"/>
      <c r="AE98" s="130"/>
      <c r="AF98" s="130"/>
      <c r="AG98" s="130"/>
      <c r="AH98" s="130"/>
      <c r="AI98" s="130"/>
      <c r="AJ98" s="130"/>
      <c r="AK98" s="130"/>
      <c r="AL98" s="130"/>
      <c r="AM98" s="130"/>
      <c r="AN98" s="130"/>
      <c r="AO98" s="130"/>
      <c r="AP98" s="130"/>
      <c r="AQ98" s="130"/>
      <c r="AR98" s="130"/>
      <c r="AS98" s="130"/>
      <c r="AT98" s="130"/>
      <c r="AU98" s="130"/>
      <c r="AV98" s="130"/>
      <c r="AW98" s="130"/>
      <c r="AX98" s="130"/>
    </row>
    <row r="99" spans="1:50" ht="20" customHeight="1" x14ac:dyDescent="0.2">
      <c r="A99" s="198"/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9">
        <v>1.9282601921918139</v>
      </c>
      <c r="Q99" s="139">
        <v>2.3918580461480756</v>
      </c>
      <c r="R99" s="139">
        <v>2.8394389644843101</v>
      </c>
      <c r="S99" s="130"/>
      <c r="T99" s="130"/>
      <c r="V99" s="130"/>
      <c r="W99" s="130"/>
      <c r="X99" s="130"/>
      <c r="Y99" s="130"/>
      <c r="Z99" s="130"/>
      <c r="AA99" s="130"/>
      <c r="AB99" s="130"/>
      <c r="AC99" s="130"/>
      <c r="AD99" s="130"/>
      <c r="AE99" s="130"/>
      <c r="AF99" s="130"/>
      <c r="AG99" s="130"/>
      <c r="AH99" s="130"/>
      <c r="AI99" s="130"/>
      <c r="AJ99" s="130"/>
      <c r="AK99" s="130"/>
      <c r="AL99" s="130"/>
      <c r="AM99" s="130"/>
      <c r="AN99" s="130"/>
      <c r="AO99" s="130"/>
      <c r="AP99" s="130"/>
      <c r="AQ99" s="130"/>
      <c r="AR99" s="130"/>
      <c r="AS99" s="130"/>
      <c r="AT99" s="130"/>
      <c r="AU99" s="130"/>
      <c r="AV99" s="130"/>
      <c r="AW99" s="130"/>
      <c r="AX99" s="130"/>
    </row>
    <row r="100" spans="1:50" ht="20" customHeight="1" x14ac:dyDescent="0.2">
      <c r="A100" s="198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9">
        <v>0.92968049915451378</v>
      </c>
      <c r="Q100" s="139">
        <v>0.4419373277438029</v>
      </c>
      <c r="R100" s="139">
        <v>0.4105221789650611</v>
      </c>
      <c r="S100" s="130"/>
      <c r="T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0"/>
      <c r="AH100" s="130"/>
      <c r="AI100" s="130"/>
      <c r="AJ100" s="130"/>
      <c r="AK100" s="130"/>
      <c r="AL100" s="130"/>
      <c r="AM100" s="130"/>
      <c r="AN100" s="130"/>
      <c r="AO100" s="130"/>
      <c r="AP100" s="130"/>
      <c r="AQ100" s="130"/>
      <c r="AR100" s="130"/>
      <c r="AS100" s="130"/>
      <c r="AT100" s="130"/>
      <c r="AU100" s="130"/>
      <c r="AV100" s="130"/>
      <c r="AW100" s="130"/>
      <c r="AX100" s="130"/>
    </row>
    <row r="101" spans="1:50" ht="20" customHeight="1" x14ac:dyDescent="0.2">
      <c r="A101" s="198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  <c r="N101" s="130"/>
      <c r="O101" s="130"/>
      <c r="P101" s="139">
        <v>0.6793540990628939</v>
      </c>
      <c r="Q101" s="139">
        <v>0.47303514761979598</v>
      </c>
      <c r="R101" s="139">
        <v>0.44031879660322903</v>
      </c>
      <c r="S101" s="130"/>
      <c r="T101" s="130"/>
      <c r="V101" s="130"/>
      <c r="W101" s="130"/>
      <c r="X101" s="130"/>
      <c r="Y101" s="130"/>
      <c r="Z101" s="130"/>
      <c r="AA101" s="130"/>
      <c r="AB101" s="130"/>
      <c r="AC101" s="130"/>
      <c r="AD101" s="130"/>
      <c r="AE101" s="130"/>
      <c r="AF101" s="130"/>
      <c r="AG101" s="130"/>
      <c r="AH101" s="130"/>
      <c r="AI101" s="130"/>
      <c r="AJ101" s="130"/>
      <c r="AK101" s="130"/>
      <c r="AL101" s="130"/>
      <c r="AM101" s="130"/>
      <c r="AN101" s="130"/>
      <c r="AO101" s="130"/>
      <c r="AP101" s="130"/>
      <c r="AQ101" s="130"/>
      <c r="AR101" s="130"/>
      <c r="AS101" s="130"/>
      <c r="AT101" s="130"/>
      <c r="AU101" s="130"/>
      <c r="AV101" s="130"/>
      <c r="AW101" s="130"/>
      <c r="AX101" s="130"/>
    </row>
    <row r="102" spans="1:50" ht="20" customHeight="1" x14ac:dyDescent="0.2">
      <c r="A102" s="198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139">
        <v>0.90451659862724421</v>
      </c>
      <c r="Q102" s="139">
        <v>1.8942442476748114</v>
      </c>
      <c r="R102" s="139">
        <v>2.0141472358421759</v>
      </c>
      <c r="S102" s="130"/>
      <c r="T102" s="130"/>
      <c r="V102" s="130"/>
      <c r="W102" s="130"/>
      <c r="X102" s="130"/>
      <c r="Y102" s="130"/>
      <c r="Z102" s="130"/>
      <c r="AA102" s="130"/>
      <c r="AB102" s="130"/>
      <c r="AC102" s="130"/>
      <c r="AD102" s="130"/>
      <c r="AE102" s="130"/>
      <c r="AF102" s="130"/>
      <c r="AG102" s="130"/>
      <c r="AH102" s="130"/>
      <c r="AI102" s="130"/>
      <c r="AJ102" s="130"/>
      <c r="AK102" s="130"/>
      <c r="AL102" s="130"/>
      <c r="AM102" s="130"/>
      <c r="AN102" s="130"/>
      <c r="AO102" s="130"/>
      <c r="AP102" s="130"/>
      <c r="AQ102" s="130"/>
      <c r="AR102" s="130"/>
      <c r="AS102" s="130"/>
      <c r="AT102" s="130"/>
      <c r="AU102" s="130"/>
      <c r="AV102" s="130"/>
      <c r="AW102" s="130"/>
      <c r="AX102" s="130"/>
    </row>
    <row r="103" spans="1:50" ht="20" customHeight="1" x14ac:dyDescent="0.2">
      <c r="A103" s="198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  <c r="N103" s="130"/>
      <c r="O103" s="130"/>
      <c r="P103" s="140">
        <v>1.6905849218503695</v>
      </c>
      <c r="Q103" s="140">
        <v>0.93713487719581789</v>
      </c>
      <c r="R103" s="140">
        <v>0.79577937481406624</v>
      </c>
      <c r="S103" s="130"/>
      <c r="T103" s="130"/>
      <c r="V103" s="130"/>
      <c r="W103" s="130"/>
      <c r="X103" s="130"/>
      <c r="Y103" s="130"/>
      <c r="Z103" s="130"/>
      <c r="AA103" s="130"/>
      <c r="AB103" s="130"/>
      <c r="AC103" s="130"/>
      <c r="AD103" s="130"/>
      <c r="AE103" s="130"/>
      <c r="AF103" s="130"/>
      <c r="AG103" s="130"/>
      <c r="AH103" s="130"/>
      <c r="AI103" s="130"/>
      <c r="AJ103" s="130"/>
      <c r="AK103" s="130"/>
      <c r="AL103" s="130"/>
      <c r="AM103" s="130"/>
      <c r="AN103" s="130"/>
      <c r="AO103" s="130"/>
      <c r="AP103" s="130"/>
      <c r="AQ103" s="130"/>
      <c r="AR103" s="130"/>
      <c r="AS103" s="130"/>
      <c r="AT103" s="130"/>
      <c r="AU103" s="130"/>
      <c r="AV103" s="130"/>
      <c r="AW103" s="130"/>
      <c r="AX103" s="130"/>
    </row>
    <row r="104" spans="1:50" ht="20" customHeight="1" x14ac:dyDescent="0.2">
      <c r="A104" s="198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  <c r="N104" s="130"/>
      <c r="O104" s="130"/>
      <c r="P104" s="133" t="s">
        <v>252</v>
      </c>
      <c r="Q104" s="130"/>
      <c r="R104" s="130"/>
      <c r="S104" s="130"/>
      <c r="T104" s="130"/>
      <c r="V104" s="130"/>
      <c r="W104" s="130"/>
      <c r="X104" s="130"/>
      <c r="Y104" s="130"/>
      <c r="Z104" s="130"/>
      <c r="AA104" s="130"/>
      <c r="AB104" s="130"/>
      <c r="AC104" s="130"/>
      <c r="AD104" s="130"/>
      <c r="AE104" s="130"/>
      <c r="AF104" s="130"/>
      <c r="AG104" s="130"/>
      <c r="AH104" s="130"/>
      <c r="AI104" s="130"/>
      <c r="AJ104" s="130"/>
      <c r="AK104" s="130"/>
      <c r="AL104" s="130"/>
      <c r="AM104" s="130"/>
      <c r="AN104" s="130"/>
      <c r="AO104" s="130"/>
      <c r="AP104" s="130"/>
      <c r="AQ104" s="130"/>
      <c r="AR104" s="130"/>
      <c r="AS104" s="130"/>
      <c r="AT104" s="130"/>
      <c r="AU104" s="130"/>
      <c r="AV104" s="130"/>
      <c r="AW104" s="130"/>
      <c r="AX104" s="130"/>
    </row>
    <row r="105" spans="1:50" ht="20" customHeight="1" x14ac:dyDescent="0.2">
      <c r="A105" s="198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138" cm="1">
        <f t="array" ref="P105:R115">_xlfn.VSTACK((Blueprint_ep1!P83:R92-Blueprint_ep1!P94:R103)/(Blueprint_ep1!P83:R92+Blueprint_ep1!P94:R103), _xlfn.SEQUENCE(1,3)*0+1)</f>
        <v>-0.32478041088184018</v>
      </c>
      <c r="Q105" s="138">
        <v>-0.49506474669260853</v>
      </c>
      <c r="R105" s="138">
        <v>-0.6584552980401791</v>
      </c>
      <c r="S105" s="130"/>
      <c r="T105" s="130"/>
      <c r="V105" s="130"/>
      <c r="W105" s="130"/>
      <c r="X105" s="130"/>
      <c r="Y105" s="130"/>
      <c r="Z105" s="130"/>
      <c r="AA105" s="130"/>
      <c r="AB105" s="130"/>
      <c r="AC105" s="130"/>
      <c r="AD105" s="130"/>
      <c r="AE105" s="130"/>
      <c r="AF105" s="130"/>
      <c r="AG105" s="130"/>
      <c r="AH105" s="130"/>
      <c r="AI105" s="130"/>
      <c r="AJ105" s="130"/>
      <c r="AK105" s="130"/>
      <c r="AL105" s="130"/>
      <c r="AM105" s="130"/>
      <c r="AN105" s="130"/>
      <c r="AO105" s="130"/>
      <c r="AP105" s="130"/>
      <c r="AQ105" s="130"/>
      <c r="AR105" s="130"/>
      <c r="AS105" s="130"/>
      <c r="AT105" s="130"/>
      <c r="AU105" s="130"/>
      <c r="AV105" s="130"/>
      <c r="AW105" s="130"/>
      <c r="AX105" s="130"/>
    </row>
    <row r="106" spans="1:50" ht="20" customHeight="1" x14ac:dyDescent="0.2">
      <c r="A106" s="198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139">
        <v>0.6394768041345662</v>
      </c>
      <c r="Q106" s="139">
        <v>0.91836631507720756</v>
      </c>
      <c r="R106" s="139">
        <v>0.94590528884429526</v>
      </c>
      <c r="S106" s="130"/>
      <c r="T106" s="130"/>
      <c r="V106" s="130"/>
      <c r="W106" s="130"/>
      <c r="X106" s="130"/>
      <c r="Y106" s="130"/>
      <c r="Z106" s="130"/>
      <c r="AA106" s="130"/>
      <c r="AB106" s="130"/>
      <c r="AC106" s="130"/>
      <c r="AD106" s="130"/>
      <c r="AE106" s="130"/>
      <c r="AF106" s="130"/>
      <c r="AG106" s="130"/>
      <c r="AH106" s="130"/>
      <c r="AI106" s="130"/>
      <c r="AJ106" s="130"/>
      <c r="AK106" s="130"/>
      <c r="AL106" s="130"/>
      <c r="AM106" s="130"/>
      <c r="AN106" s="130"/>
      <c r="AO106" s="130"/>
      <c r="AP106" s="130"/>
      <c r="AQ106" s="130"/>
      <c r="AR106" s="130"/>
      <c r="AS106" s="130"/>
      <c r="AT106" s="130"/>
      <c r="AU106" s="130"/>
      <c r="AV106" s="130"/>
      <c r="AW106" s="130"/>
      <c r="AX106" s="130"/>
    </row>
    <row r="107" spans="1:50" ht="20" customHeight="1" x14ac:dyDescent="0.2">
      <c r="A107" s="198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9">
        <v>0.32563927666506065</v>
      </c>
      <c r="Q107" s="139">
        <v>0.54000940371902995</v>
      </c>
      <c r="R107" s="139">
        <v>0.6175479529603598</v>
      </c>
      <c r="S107" s="130"/>
      <c r="T107" s="130"/>
      <c r="V107" s="130"/>
      <c r="W107" s="130"/>
      <c r="X107" s="130"/>
      <c r="Y107" s="130"/>
      <c r="Z107" s="130"/>
      <c r="AA107" s="130"/>
      <c r="AB107" s="130"/>
      <c r="AC107" s="130"/>
      <c r="AD107" s="130"/>
      <c r="AE107" s="130"/>
      <c r="AF107" s="130"/>
      <c r="AG107" s="130"/>
      <c r="AH107" s="130"/>
      <c r="AI107" s="130"/>
      <c r="AJ107" s="130"/>
      <c r="AK107" s="130"/>
      <c r="AL107" s="130"/>
      <c r="AM107" s="130"/>
      <c r="AN107" s="130"/>
      <c r="AO107" s="130"/>
      <c r="AP107" s="130"/>
      <c r="AQ107" s="130"/>
      <c r="AR107" s="130"/>
      <c r="AS107" s="130"/>
      <c r="AT107" s="130"/>
      <c r="AU107" s="130"/>
      <c r="AV107" s="130"/>
      <c r="AW107" s="130"/>
      <c r="AX107" s="130"/>
    </row>
    <row r="108" spans="1:50" ht="20" customHeight="1" x14ac:dyDescent="0.2">
      <c r="A108" s="198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  <c r="N108" s="130"/>
      <c r="O108" s="130"/>
      <c r="P108" s="139">
        <v>0.50154101732170486</v>
      </c>
      <c r="Q108" s="139">
        <v>0.88160796583930645</v>
      </c>
      <c r="R108" s="139">
        <v>0.87450537321481359</v>
      </c>
      <c r="S108" s="130"/>
      <c r="T108" s="130"/>
      <c r="V108" s="130"/>
      <c r="W108" s="130"/>
      <c r="X108" s="130"/>
      <c r="Y108" s="130"/>
      <c r="Z108" s="130"/>
      <c r="AA108" s="130"/>
      <c r="AB108" s="130"/>
      <c r="AC108" s="130"/>
      <c r="AD108" s="130"/>
      <c r="AE108" s="130"/>
      <c r="AF108" s="130"/>
      <c r="AG108" s="130"/>
      <c r="AH108" s="130"/>
      <c r="AI108" s="130"/>
      <c r="AJ108" s="130"/>
      <c r="AK108" s="130"/>
      <c r="AL108" s="130"/>
      <c r="AM108" s="130"/>
      <c r="AN108" s="130"/>
      <c r="AO108" s="130"/>
      <c r="AP108" s="130"/>
      <c r="AQ108" s="130"/>
      <c r="AR108" s="130"/>
      <c r="AS108" s="130"/>
      <c r="AT108" s="130"/>
      <c r="AU108" s="130"/>
      <c r="AV108" s="130"/>
      <c r="AW108" s="130"/>
      <c r="AX108" s="130"/>
    </row>
    <row r="109" spans="1:50" ht="20" customHeight="1" x14ac:dyDescent="0.2">
      <c r="A109" s="198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139">
        <v>0.75984642538275204</v>
      </c>
      <c r="Q109" s="139">
        <v>0.59285109029981775</v>
      </c>
      <c r="R109" s="139">
        <v>0.45707875083353799</v>
      </c>
      <c r="S109" s="130"/>
      <c r="T109" s="130"/>
      <c r="V109" s="130"/>
      <c r="W109" s="130"/>
      <c r="X109" s="130"/>
      <c r="Y109" s="130"/>
      <c r="Z109" s="130"/>
      <c r="AA109" s="130"/>
      <c r="AB109" s="130"/>
      <c r="AC109" s="130"/>
      <c r="AD109" s="130"/>
      <c r="AE109" s="130"/>
      <c r="AF109" s="130"/>
      <c r="AG109" s="130"/>
      <c r="AH109" s="130"/>
      <c r="AI109" s="130"/>
      <c r="AJ109" s="130"/>
      <c r="AK109" s="130"/>
      <c r="AL109" s="130"/>
      <c r="AM109" s="130"/>
      <c r="AN109" s="130"/>
      <c r="AO109" s="130"/>
      <c r="AP109" s="130"/>
      <c r="AQ109" s="130"/>
      <c r="AR109" s="130"/>
      <c r="AS109" s="130"/>
      <c r="AT109" s="130"/>
      <c r="AU109" s="130"/>
      <c r="AV109" s="130"/>
      <c r="AW109" s="130"/>
      <c r="AX109" s="130"/>
    </row>
    <row r="110" spans="1:50" ht="20" customHeight="1" x14ac:dyDescent="0.2">
      <c r="A110" s="198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130"/>
      <c r="M110" s="130"/>
      <c r="N110" s="130"/>
      <c r="O110" s="130"/>
      <c r="P110" s="139">
        <v>-0.57610839848604267</v>
      </c>
      <c r="Q110" s="139">
        <v>-0.70242456635271611</v>
      </c>
      <c r="R110" s="139">
        <v>-0.7793082416024173</v>
      </c>
      <c r="S110" s="130"/>
      <c r="T110" s="130"/>
      <c r="V110" s="130"/>
      <c r="W110" s="130"/>
      <c r="X110" s="130"/>
      <c r="Y110" s="130"/>
      <c r="Z110" s="130"/>
      <c r="AA110" s="130"/>
      <c r="AB110" s="130"/>
      <c r="AC110" s="130"/>
      <c r="AD110" s="130"/>
      <c r="AE110" s="130"/>
      <c r="AF110" s="130"/>
      <c r="AG110" s="130"/>
      <c r="AH110" s="130"/>
      <c r="AI110" s="130"/>
      <c r="AJ110" s="130"/>
      <c r="AK110" s="130"/>
      <c r="AL110" s="130"/>
      <c r="AM110" s="130"/>
      <c r="AN110" s="130"/>
      <c r="AO110" s="130"/>
      <c r="AP110" s="130"/>
      <c r="AQ110" s="130"/>
      <c r="AR110" s="130"/>
      <c r="AS110" s="130"/>
      <c r="AT110" s="130"/>
      <c r="AU110" s="130"/>
      <c r="AV110" s="130"/>
      <c r="AW110" s="130"/>
      <c r="AX110" s="130"/>
    </row>
    <row r="111" spans="1:50" ht="20" customHeight="1" x14ac:dyDescent="0.2">
      <c r="A111" s="198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139">
        <v>7.2785359178341197E-2</v>
      </c>
      <c r="Q111" s="139">
        <v>0.673208071316168</v>
      </c>
      <c r="R111" s="139">
        <v>0.71155437753642636</v>
      </c>
      <c r="S111" s="130"/>
      <c r="T111" s="130"/>
      <c r="V111" s="130"/>
      <c r="W111" s="130"/>
      <c r="X111" s="130"/>
      <c r="Y111" s="130"/>
      <c r="Z111" s="130"/>
      <c r="AA111" s="130"/>
      <c r="AB111" s="130"/>
      <c r="AC111" s="130"/>
      <c r="AD111" s="130"/>
      <c r="AE111" s="130"/>
      <c r="AF111" s="130"/>
      <c r="AG111" s="130"/>
      <c r="AH111" s="130"/>
      <c r="AI111" s="130"/>
      <c r="AJ111" s="130"/>
      <c r="AK111" s="130"/>
      <c r="AL111" s="130"/>
      <c r="AM111" s="130"/>
      <c r="AN111" s="130"/>
      <c r="AO111" s="130"/>
      <c r="AP111" s="130"/>
      <c r="AQ111" s="130"/>
      <c r="AR111" s="130"/>
      <c r="AS111" s="130"/>
      <c r="AT111" s="130"/>
      <c r="AU111" s="130"/>
      <c r="AV111" s="130"/>
      <c r="AW111" s="130"/>
      <c r="AX111" s="130"/>
    </row>
    <row r="112" spans="1:50" ht="20" customHeight="1" x14ac:dyDescent="0.2">
      <c r="A112" s="198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130"/>
      <c r="O112" s="130"/>
      <c r="P112" s="139">
        <v>0.36843647311897088</v>
      </c>
      <c r="Q112" s="139">
        <v>0.63430437452682853</v>
      </c>
      <c r="R112" s="139">
        <v>0.67520933715275167</v>
      </c>
      <c r="S112" s="130"/>
      <c r="T112" s="130"/>
      <c r="V112" s="130"/>
      <c r="W112" s="130"/>
      <c r="X112" s="130"/>
      <c r="Y112" s="130"/>
      <c r="Z112" s="130"/>
      <c r="AA112" s="130"/>
      <c r="AB112" s="130"/>
      <c r="AC112" s="130"/>
      <c r="AD112" s="130"/>
      <c r="AE112" s="130"/>
      <c r="AF112" s="130"/>
      <c r="AG112" s="130"/>
      <c r="AH112" s="130"/>
      <c r="AI112" s="130"/>
      <c r="AJ112" s="130"/>
      <c r="AK112" s="130"/>
      <c r="AL112" s="130"/>
      <c r="AM112" s="130"/>
      <c r="AN112" s="130"/>
      <c r="AO112" s="130"/>
      <c r="AP112" s="130"/>
      <c r="AQ112" s="130"/>
      <c r="AR112" s="130"/>
      <c r="AS112" s="130"/>
      <c r="AT112" s="130"/>
      <c r="AU112" s="130"/>
      <c r="AV112" s="130"/>
      <c r="AW112" s="130"/>
      <c r="AX112" s="130"/>
    </row>
    <row r="113" spans="1:62" ht="20" customHeight="1" x14ac:dyDescent="0.2">
      <c r="A113" s="198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130"/>
      <c r="O113" s="130"/>
      <c r="P113" s="139">
        <v>0.10001908262975626</v>
      </c>
      <c r="Q113" s="139">
        <v>-0.56409553144025115</v>
      </c>
      <c r="R113" s="139">
        <v>-0.6044921064862574</v>
      </c>
      <c r="S113" s="130"/>
      <c r="T113" s="130"/>
      <c r="V113" s="130"/>
      <c r="W113" s="130"/>
      <c r="X113" s="130"/>
      <c r="Y113" s="130"/>
      <c r="Z113" s="130"/>
      <c r="AA113" s="130"/>
      <c r="AB113" s="130"/>
      <c r="AC113" s="130"/>
      <c r="AD113" s="130"/>
      <c r="AE113" s="130"/>
      <c r="AF113" s="130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30"/>
      <c r="AT113" s="130"/>
      <c r="AU113" s="130"/>
      <c r="AV113" s="130"/>
      <c r="AW113" s="130"/>
      <c r="AX113" s="130"/>
    </row>
    <row r="114" spans="1:62" ht="20" customHeight="1" x14ac:dyDescent="0.2">
      <c r="A114" s="198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130"/>
      <c r="O114" s="130"/>
      <c r="P114" s="140">
        <v>-0.48160707936783265</v>
      </c>
      <c r="Q114" s="140">
        <v>6.4836976850076361E-2</v>
      </c>
      <c r="R114" s="140">
        <v>0.22454116663525292</v>
      </c>
      <c r="S114" s="130"/>
      <c r="T114" s="130"/>
      <c r="V114" s="130"/>
      <c r="W114" s="130"/>
      <c r="X114" s="130"/>
      <c r="Y114" s="130"/>
      <c r="Z114" s="130"/>
      <c r="AA114" s="130"/>
      <c r="AB114" s="130"/>
      <c r="AC114" s="130"/>
      <c r="AD114" s="130"/>
      <c r="AE114" s="130"/>
      <c r="AF114" s="130"/>
      <c r="AG114" s="130"/>
      <c r="AH114" s="130"/>
      <c r="AI114" s="130"/>
      <c r="AJ114" s="130"/>
      <c r="AK114" s="130"/>
      <c r="AL114" s="130"/>
      <c r="AM114" s="130"/>
      <c r="AN114" s="130"/>
      <c r="AO114" s="130"/>
      <c r="AP114" s="130"/>
      <c r="AQ114" s="130"/>
      <c r="AR114" s="130"/>
      <c r="AS114" s="130"/>
      <c r="AT114" s="130"/>
      <c r="AU114" s="130"/>
      <c r="AV114" s="130"/>
      <c r="AW114" s="130"/>
      <c r="AX114" s="130"/>
    </row>
    <row r="115" spans="1:62" ht="20" customHeight="1" x14ac:dyDescent="0.2">
      <c r="A115" s="198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130">
        <v>1</v>
      </c>
      <c r="Q115" s="130">
        <v>1</v>
      </c>
      <c r="R115" s="130">
        <v>1</v>
      </c>
      <c r="S115" s="130"/>
      <c r="T115" s="141" t="str">
        <f>HYPERLINK("#Blueprint!torchcode", "&lt;/&gt;")</f>
        <v>&lt;/&gt;</v>
      </c>
      <c r="V115" s="141" t="str">
        <f>HYPERLINK("#Blueprint!torchcode", "&lt;/&gt;")</f>
        <v>&lt;/&gt;</v>
      </c>
      <c r="W115" s="130"/>
      <c r="X115" s="130"/>
      <c r="Y115" s="130"/>
      <c r="Z115" s="130"/>
      <c r="AA115" s="130"/>
      <c r="AB115" s="130"/>
      <c r="AC115" s="130"/>
      <c r="AD115" s="130"/>
      <c r="AE115" s="130"/>
      <c r="AF115" s="130"/>
      <c r="AG115" s="130"/>
      <c r="AH115" s="130"/>
      <c r="AI115" s="130"/>
      <c r="AJ115" s="130"/>
      <c r="AK115" s="130"/>
      <c r="AL115" s="130"/>
      <c r="AM115" s="130"/>
      <c r="AN115" s="130"/>
      <c r="AO115" s="130"/>
      <c r="AP115" s="130"/>
      <c r="AQ115" s="130"/>
      <c r="AR115" s="130"/>
      <c r="AS115" s="130"/>
      <c r="AT115" s="130"/>
      <c r="AU115" s="130"/>
      <c r="AV115" s="130"/>
      <c r="AW115" s="130"/>
      <c r="AX115" s="130"/>
    </row>
    <row r="116" spans="1:62" ht="20" customHeight="1" x14ac:dyDescent="0.2">
      <c r="A116" s="198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130"/>
      <c r="O116" s="130"/>
      <c r="P116" s="130"/>
      <c r="Q116" s="130"/>
      <c r="R116" s="130"/>
      <c r="S116" s="130"/>
      <c r="T116" s="142" t="str">
        <f>HYPERLINK("#X", "▲")</f>
        <v>▲</v>
      </c>
      <c r="V116" s="142" t="str">
        <f>HYPERLINK("#X", "▲")</f>
        <v>▲</v>
      </c>
      <c r="W116" s="130"/>
      <c r="X116" s="130"/>
      <c r="Y116" s="130"/>
      <c r="Z116" s="130"/>
      <c r="AA116" s="130"/>
      <c r="AB116" s="130"/>
      <c r="AC116" s="130"/>
      <c r="AD116" s="130"/>
      <c r="AE116" s="130"/>
      <c r="AF116" s="130"/>
      <c r="AG116" s="130"/>
      <c r="AH116" s="130"/>
      <c r="AI116" s="130"/>
      <c r="AJ116" s="130"/>
      <c r="AK116" s="130"/>
      <c r="AL116" s="130"/>
      <c r="AM116" s="130"/>
      <c r="AN116" s="130"/>
      <c r="AO116" s="130"/>
      <c r="AP116" s="130"/>
      <c r="AQ116" s="130"/>
      <c r="AR116" s="130"/>
      <c r="AS116" s="130"/>
      <c r="AT116" s="130"/>
      <c r="AU116" s="130"/>
      <c r="AV116" s="130"/>
      <c r="AW116" s="130"/>
      <c r="AX116" s="130"/>
    </row>
    <row r="117" spans="1:62" ht="20" customHeight="1" x14ac:dyDescent="0.2">
      <c r="P117" s="143" t="s">
        <v>117</v>
      </c>
      <c r="Q117" s="143" t="s">
        <v>117</v>
      </c>
      <c r="R117" s="143" t="s">
        <v>117</v>
      </c>
      <c r="AI117" s="160" t="s">
        <v>128</v>
      </c>
      <c r="AJ117" s="160" t="s">
        <v>128</v>
      </c>
      <c r="AK117" s="160" t="s">
        <v>128</v>
      </c>
    </row>
    <row r="118" spans="1:62" ht="20" customHeight="1" x14ac:dyDescent="0.2">
      <c r="A118" s="199" t="s">
        <v>257</v>
      </c>
      <c r="B118" s="123"/>
      <c r="C118" s="123"/>
      <c r="D118" s="123"/>
      <c r="E118" s="123"/>
      <c r="F118" s="123"/>
      <c r="G118" s="123"/>
      <c r="H118" s="123"/>
      <c r="I118" s="123"/>
      <c r="J118" s="123"/>
      <c r="K118" s="123"/>
      <c r="L118" s="123"/>
      <c r="M118" s="123"/>
      <c r="N118" s="123"/>
      <c r="O118" s="123"/>
      <c r="P118" s="144" t="s">
        <v>255</v>
      </c>
      <c r="Q118" s="123"/>
      <c r="R118" s="123"/>
      <c r="S118" s="123"/>
      <c r="T118" s="123"/>
      <c r="V118" s="123"/>
      <c r="W118" s="123"/>
      <c r="X118" s="123"/>
      <c r="Y118" s="123"/>
      <c r="Z118" s="123"/>
      <c r="AA118" s="123"/>
      <c r="AB118" s="123"/>
      <c r="AC118" s="123"/>
      <c r="AD118" s="123"/>
      <c r="AE118" s="123"/>
      <c r="AF118" s="123"/>
      <c r="AG118" s="123"/>
      <c r="AH118" s="123"/>
      <c r="AI118" s="144" t="s">
        <v>213</v>
      </c>
      <c r="AJ118" s="123"/>
      <c r="AK118" s="123"/>
      <c r="AL118" s="123"/>
      <c r="AM118" s="123"/>
      <c r="AN118" s="123"/>
      <c r="AO118" s="123"/>
      <c r="AP118" s="123"/>
      <c r="AQ118" s="123"/>
      <c r="AR118" s="123"/>
      <c r="AS118" s="123"/>
      <c r="AT118" s="123"/>
      <c r="AU118" s="123"/>
      <c r="AV118" s="123"/>
      <c r="AW118" s="144" t="s">
        <v>292</v>
      </c>
      <c r="AX118" s="123"/>
      <c r="AZ118" s="117" t="s">
        <v>294</v>
      </c>
    </row>
    <row r="119" spans="1:62" ht="20" customHeight="1" x14ac:dyDescent="0.2">
      <c r="A119" s="199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52" t="s">
        <v>254</v>
      </c>
      <c r="O119" s="123"/>
      <c r="P119" s="145" t="s">
        <v>256</v>
      </c>
      <c r="Q119" s="123"/>
      <c r="R119" s="123"/>
      <c r="S119" s="123"/>
      <c r="T119" s="123"/>
      <c r="V119" s="123"/>
      <c r="W119" s="123"/>
      <c r="X119" s="123"/>
      <c r="Y119" s="123"/>
      <c r="Z119" s="123"/>
      <c r="AA119" s="123"/>
      <c r="AB119" s="123"/>
      <c r="AC119" s="123"/>
      <c r="AD119" s="123"/>
      <c r="AE119" s="123"/>
      <c r="AF119" s="123"/>
      <c r="AG119" s="161" t="s">
        <v>290</v>
      </c>
      <c r="AH119" s="123"/>
      <c r="AI119" s="145" t="s">
        <v>291</v>
      </c>
      <c r="AJ119" s="123"/>
      <c r="AK119" s="123"/>
      <c r="AL119" s="123"/>
      <c r="AM119" s="123"/>
      <c r="AN119" s="123"/>
      <c r="AO119" s="123"/>
      <c r="AP119" s="123"/>
      <c r="AQ119" s="123"/>
      <c r="AR119" s="123"/>
      <c r="AS119" s="123"/>
      <c r="AT119" s="123"/>
      <c r="AU119" s="123"/>
      <c r="AV119" s="123"/>
      <c r="AW119" s="161" t="s">
        <v>293</v>
      </c>
      <c r="AX119" s="123"/>
      <c r="AZ119" s="129" t="s">
        <v>295</v>
      </c>
    </row>
    <row r="120" spans="1:62" ht="20" customHeight="1" x14ac:dyDescent="0.2">
      <c r="A120" s="199"/>
      <c r="B120" s="123"/>
      <c r="C120" s="123"/>
      <c r="D120" s="153" cm="1">
        <f t="array" ref="D120:N127">Blueprint!newW_5</f>
        <v>-0.45315949842042003</v>
      </c>
      <c r="E120" s="154">
        <v>-0.88284015061045507</v>
      </c>
      <c r="F120" s="154">
        <v>0.11575559407206036</v>
      </c>
      <c r="G120" s="154">
        <v>-0.60696598785647915</v>
      </c>
      <c r="H120" s="154">
        <v>-0.27735400453368109</v>
      </c>
      <c r="I120" s="154">
        <v>-0.89615727141139578</v>
      </c>
      <c r="J120" s="154">
        <v>-0.14351442044214677</v>
      </c>
      <c r="K120" s="154">
        <v>-0.80211392626686639</v>
      </c>
      <c r="L120" s="154">
        <v>0.77067544207070282</v>
      </c>
      <c r="M120" s="154">
        <v>0.97665492572378054</v>
      </c>
      <c r="N120" s="155">
        <v>0.63870184070199199</v>
      </c>
      <c r="O120" s="156" t="s">
        <v>113</v>
      </c>
      <c r="P120" s="146" cm="1">
        <f t="array" ref="P120:R127">MMULT(Blueprint_ep1!D120:N127,Blueprint_ep1!P105:R115)</f>
        <v>-0.43911856915115988</v>
      </c>
      <c r="Q120" s="146">
        <v>-0.93207986345215121</v>
      </c>
      <c r="R120" s="146">
        <v>-0.67597742805000971</v>
      </c>
      <c r="S120" s="123"/>
      <c r="T120" s="123"/>
      <c r="V120" s="123"/>
      <c r="W120" s="123"/>
      <c r="X120" s="123"/>
      <c r="Y120" s="123"/>
      <c r="Z120" s="123"/>
      <c r="AA120" s="123"/>
      <c r="AB120" s="123"/>
      <c r="AC120" s="123"/>
      <c r="AD120" s="123"/>
      <c r="AE120" s="146" cm="1">
        <f t="array" ref="AE120:AG127">1-(X_6*X_6)</f>
        <v>0.82950239247455093</v>
      </c>
      <c r="AF120" s="146">
        <v>0.46481685945505591</v>
      </c>
      <c r="AG120" s="146">
        <v>0.65319905257285749</v>
      </c>
      <c r="AH120" s="156" t="s">
        <v>113</v>
      </c>
      <c r="AI120" s="146" cm="1">
        <f t="array" ref="AI120:AK127">G_6*MaskTanh_6</f>
        <v>0</v>
      </c>
      <c r="AJ120" s="146">
        <v>0</v>
      </c>
      <c r="AK120" s="146">
        <v>0</v>
      </c>
      <c r="AL120" s="156" t="s">
        <v>113</v>
      </c>
      <c r="AM120" s="153" cm="1">
        <f t="array" ref="AM120:AW127">MMULT(G_5, TRANSPOSE(X_4))</f>
        <v>0</v>
      </c>
      <c r="AN120" s="154">
        <v>0</v>
      </c>
      <c r="AO120" s="154">
        <v>0</v>
      </c>
      <c r="AP120" s="154">
        <v>0</v>
      </c>
      <c r="AQ120" s="154">
        <v>0</v>
      </c>
      <c r="AR120" s="154">
        <v>0</v>
      </c>
      <c r="AS120" s="154">
        <v>0</v>
      </c>
      <c r="AT120" s="154">
        <v>0</v>
      </c>
      <c r="AU120" s="154">
        <v>0</v>
      </c>
      <c r="AV120" s="154">
        <v>0</v>
      </c>
      <c r="AW120" s="155">
        <v>0</v>
      </c>
      <c r="AX120" s="123"/>
      <c r="AY120" s="128" t="s">
        <v>113</v>
      </c>
      <c r="AZ120" s="125" cm="1">
        <f t="array" ref="AZ120:BJ127">W_5 - lrate * dW_5</f>
        <v>-0.45315949842042003</v>
      </c>
      <c r="BA120" s="126">
        <v>-0.88284015061045507</v>
      </c>
      <c r="BB120" s="126">
        <v>0.11575559407206036</v>
      </c>
      <c r="BC120" s="126">
        <v>-0.60696598785647915</v>
      </c>
      <c r="BD120" s="126">
        <v>-0.27735400453368109</v>
      </c>
      <c r="BE120" s="126">
        <v>-0.89615727141139578</v>
      </c>
      <c r="BF120" s="126">
        <v>-0.14351442044214677</v>
      </c>
      <c r="BG120" s="126">
        <v>-0.80211392626686639</v>
      </c>
      <c r="BH120" s="126">
        <v>0.77067544207070282</v>
      </c>
      <c r="BI120" s="126">
        <v>0.97665492572378054</v>
      </c>
      <c r="BJ120" s="127">
        <v>0.63870184070199199</v>
      </c>
    </row>
    <row r="121" spans="1:62" ht="20" customHeight="1" x14ac:dyDescent="0.2">
      <c r="A121" s="199"/>
      <c r="B121" s="123"/>
      <c r="C121" s="123"/>
      <c r="D121" s="153">
        <v>2.3885567826074674E-2</v>
      </c>
      <c r="E121" s="154">
        <v>0.24475272096435285</v>
      </c>
      <c r="F121" s="154">
        <v>0.69790771199209356</v>
      </c>
      <c r="G121" s="154">
        <v>0.15653811953982683</v>
      </c>
      <c r="H121" s="154">
        <v>-0.83942036011957943</v>
      </c>
      <c r="I121" s="154">
        <v>-0.68680649356261481</v>
      </c>
      <c r="J121" s="154">
        <v>0.8726688147117081</v>
      </c>
      <c r="K121" s="154">
        <v>0.82322928673961815</v>
      </c>
      <c r="L121" s="154">
        <v>0.79706200460221543</v>
      </c>
      <c r="M121" s="154">
        <v>9.3080160781360471E-2</v>
      </c>
      <c r="N121" s="155">
        <v>-0.68248499924392325</v>
      </c>
      <c r="O121" s="156" t="s">
        <v>113</v>
      </c>
      <c r="P121" s="147">
        <v>-6.8389442474117712E-2</v>
      </c>
      <c r="Q121" s="147">
        <v>0.69620475948781535</v>
      </c>
      <c r="R121" s="147">
        <v>0.96862402603382991</v>
      </c>
      <c r="S121" s="123"/>
      <c r="T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47">
        <v>0.99533742920855373</v>
      </c>
      <c r="AF121" s="147">
        <v>0.63765227147874137</v>
      </c>
      <c r="AG121" s="147">
        <v>0.4403478814288373</v>
      </c>
      <c r="AH121" s="156" t="s">
        <v>113</v>
      </c>
      <c r="AI121" s="147">
        <v>0</v>
      </c>
      <c r="AJ121" s="147">
        <v>0.30617967711585659</v>
      </c>
      <c r="AK121" s="147">
        <v>0.25123269545579463</v>
      </c>
      <c r="AL121" s="156" t="s">
        <v>113</v>
      </c>
      <c r="AM121" s="153">
        <v>-0.31700426365756901</v>
      </c>
      <c r="AN121" s="154">
        <v>0.51882743718666269</v>
      </c>
      <c r="AO121" s="154">
        <v>0.32048814166565831</v>
      </c>
      <c r="AP121" s="154">
        <v>0.48963478442677927</v>
      </c>
      <c r="AQ121" s="154">
        <v>0.29635208201325902</v>
      </c>
      <c r="AR121" s="154">
        <v>-0.41085583705281115</v>
      </c>
      <c r="AS121" s="154">
        <v>0.3848883541392194</v>
      </c>
      <c r="AT121" s="154">
        <v>0.36384577035560595</v>
      </c>
      <c r="AU121" s="154">
        <v>-0.32458276897316729</v>
      </c>
      <c r="AV121" s="154">
        <v>7.6263847171687979E-2</v>
      </c>
      <c r="AW121" s="155">
        <v>0.55741237257165122</v>
      </c>
      <c r="AX121" s="123"/>
      <c r="AY121" s="128" t="s">
        <v>113</v>
      </c>
      <c r="AZ121" s="125">
        <v>5.5585994191831578E-2</v>
      </c>
      <c r="BA121" s="126">
        <v>0.19286997724568658</v>
      </c>
      <c r="BB121" s="126">
        <v>0.66585889782552776</v>
      </c>
      <c r="BC121" s="126">
        <v>0.1075746410971489</v>
      </c>
      <c r="BD121" s="126">
        <v>-0.86905556832090536</v>
      </c>
      <c r="BE121" s="126">
        <v>-0.64572090985733366</v>
      </c>
      <c r="BF121" s="126">
        <v>0.8341799792977862</v>
      </c>
      <c r="BG121" s="126">
        <v>0.78684470970405751</v>
      </c>
      <c r="BH121" s="126">
        <v>0.82952028149953216</v>
      </c>
      <c r="BI121" s="126">
        <v>8.5453776064191675E-2</v>
      </c>
      <c r="BJ121" s="127">
        <v>-0.73822623650108832</v>
      </c>
    </row>
    <row r="122" spans="1:62" ht="20" customHeight="1" x14ac:dyDescent="0.2">
      <c r="A122" s="199"/>
      <c r="B122" s="123"/>
      <c r="C122" s="123"/>
      <c r="D122" s="153">
        <v>0.10476722439076955</v>
      </c>
      <c r="E122" s="154">
        <v>-0.48865950850630185</v>
      </c>
      <c r="F122" s="154">
        <v>0.88189285284612362</v>
      </c>
      <c r="G122" s="154">
        <v>0.63694189932437928</v>
      </c>
      <c r="H122" s="154">
        <v>-0.6921128084956234</v>
      </c>
      <c r="I122" s="154">
        <v>0.66442992125486511</v>
      </c>
      <c r="J122" s="154">
        <v>-7.1093600347717362E-2</v>
      </c>
      <c r="K122" s="154">
        <v>-0.88306920804491551</v>
      </c>
      <c r="L122" s="154">
        <v>-0.95163020871513793</v>
      </c>
      <c r="M122" s="154">
        <v>7.2360248383199641E-2</v>
      </c>
      <c r="N122" s="155">
        <v>0.65288758880761621</v>
      </c>
      <c r="O122" s="156" t="s">
        <v>113</v>
      </c>
      <c r="P122" s="147">
        <v>-0.45623670279828032</v>
      </c>
      <c r="Q122" s="147">
        <v>0.24649087146613186</v>
      </c>
      <c r="R122" s="147">
        <v>0.3338091760383608</v>
      </c>
      <c r="S122" s="123"/>
      <c r="T122" s="123"/>
      <c r="V122" s="123"/>
      <c r="W122" s="123"/>
      <c r="X122" s="123"/>
      <c r="Y122" s="123"/>
      <c r="Z122" s="123"/>
      <c r="AA122" s="123"/>
      <c r="AB122" s="123"/>
      <c r="AC122" s="123"/>
      <c r="AD122" s="123"/>
      <c r="AE122" s="147">
        <v>0.81766069843870437</v>
      </c>
      <c r="AF122" s="147">
        <v>0.94162112596468239</v>
      </c>
      <c r="AG122" s="147">
        <v>0.89635506981397517</v>
      </c>
      <c r="AH122" s="156" t="s">
        <v>113</v>
      </c>
      <c r="AI122" s="147">
        <v>0</v>
      </c>
      <c r="AJ122" s="147">
        <v>-3.193406722994669E-2</v>
      </c>
      <c r="AK122" s="147">
        <v>-2.2424131902084887E-3</v>
      </c>
      <c r="AL122" s="156" t="s">
        <v>113</v>
      </c>
      <c r="AM122" s="153">
        <v>1.7285959749546248E-2</v>
      </c>
      <c r="AN122" s="154">
        <v>-3.1448282143786366E-2</v>
      </c>
      <c r="AO122" s="154">
        <v>-1.8629494278471489E-2</v>
      </c>
      <c r="AP122" s="154">
        <v>-3.0114330435374051E-2</v>
      </c>
      <c r="AQ122" s="154">
        <v>-1.9957105994814723E-2</v>
      </c>
      <c r="AR122" s="154">
        <v>2.4178804406081229E-2</v>
      </c>
      <c r="AS122" s="154">
        <v>-2.3093870730891527E-2</v>
      </c>
      <c r="AT122" s="154">
        <v>-2.1770016864172285E-2</v>
      </c>
      <c r="AU122" s="154">
        <v>1.9369385698087185E-2</v>
      </c>
      <c r="AV122" s="154">
        <v>-2.5740224515245292E-3</v>
      </c>
      <c r="AW122" s="155">
        <v>-3.4176480420155177E-2</v>
      </c>
      <c r="AX122" s="123"/>
      <c r="AY122" s="128" t="s">
        <v>113</v>
      </c>
      <c r="AZ122" s="125">
        <v>0.10303862841581492</v>
      </c>
      <c r="BA122" s="126">
        <v>-0.48551468029192324</v>
      </c>
      <c r="BB122" s="126">
        <v>0.88375580227397077</v>
      </c>
      <c r="BC122" s="126">
        <v>0.63995333236791674</v>
      </c>
      <c r="BD122" s="126">
        <v>-0.69011709789614195</v>
      </c>
      <c r="BE122" s="126">
        <v>0.66201204081425702</v>
      </c>
      <c r="BF122" s="126">
        <v>-6.8784213274628206E-2</v>
      </c>
      <c r="BG122" s="126">
        <v>-0.8808922063584983</v>
      </c>
      <c r="BH122" s="126">
        <v>-0.95356714728494663</v>
      </c>
      <c r="BI122" s="126">
        <v>7.2617650628352098E-2</v>
      </c>
      <c r="BJ122" s="127">
        <v>0.65630523684963171</v>
      </c>
    </row>
    <row r="123" spans="1:62" ht="20" customHeight="1" x14ac:dyDescent="0.2">
      <c r="A123" s="199"/>
      <c r="B123" s="123"/>
      <c r="C123" s="123"/>
      <c r="D123" s="153">
        <v>0.67976362984434213</v>
      </c>
      <c r="E123" s="154">
        <v>0.38147412810269959</v>
      </c>
      <c r="F123" s="154">
        <v>-0.22637485356120193</v>
      </c>
      <c r="G123" s="154">
        <v>0.18982548145204833</v>
      </c>
      <c r="H123" s="154">
        <v>0.40520981235682241</v>
      </c>
      <c r="I123" s="154">
        <v>0.40683482600655652</v>
      </c>
      <c r="J123" s="154">
        <v>0.45053263862338078</v>
      </c>
      <c r="K123" s="154">
        <v>0.99323560841225689</v>
      </c>
      <c r="L123" s="154">
        <v>-0.10894443570614484</v>
      </c>
      <c r="M123" s="154">
        <v>-0.80213423995099231</v>
      </c>
      <c r="N123" s="155">
        <v>-0.59458200709986697</v>
      </c>
      <c r="O123" s="156" t="s">
        <v>113</v>
      </c>
      <c r="P123" s="147">
        <v>0.29774633760861136</v>
      </c>
      <c r="Q123" s="147">
        <v>0.36155239297839203</v>
      </c>
      <c r="R123" s="147">
        <v>8.9995884229289835E-2</v>
      </c>
      <c r="S123" s="123"/>
      <c r="T123" s="123"/>
      <c r="V123" s="123"/>
      <c r="W123" s="123"/>
      <c r="X123" s="123"/>
      <c r="Y123" s="123"/>
      <c r="Z123" s="123"/>
      <c r="AA123" s="123"/>
      <c r="AB123" s="123"/>
      <c r="AC123" s="123"/>
      <c r="AD123" s="123"/>
      <c r="AE123" s="147">
        <v>0.91633510202704394</v>
      </c>
      <c r="AF123" s="147">
        <v>0.87988182482988231</v>
      </c>
      <c r="AG123" s="147">
        <v>0.99194427295333387</v>
      </c>
      <c r="AH123" s="156" t="s">
        <v>113</v>
      </c>
      <c r="AI123" s="147">
        <v>4.3953173777159307E-3</v>
      </c>
      <c r="AJ123" s="147">
        <v>-0.25340377191939956</v>
      </c>
      <c r="AK123" s="147">
        <v>-0.24176636926561687</v>
      </c>
      <c r="AL123" s="156" t="s">
        <v>113</v>
      </c>
      <c r="AM123" s="153">
        <v>0.28321610790322216</v>
      </c>
      <c r="AN123" s="154">
        <v>-0.45859487208745509</v>
      </c>
      <c r="AO123" s="154">
        <v>-0.28471145823739541</v>
      </c>
      <c r="AP123" s="154">
        <v>-0.43262434093421676</v>
      </c>
      <c r="AQ123" s="154">
        <v>-0.25739720632811025</v>
      </c>
      <c r="AR123" s="154">
        <v>0.36387537945830162</v>
      </c>
      <c r="AS123" s="154">
        <v>-0.34230346819609903</v>
      </c>
      <c r="AT123" s="154">
        <v>-0.32235863575485424</v>
      </c>
      <c r="AU123" s="154">
        <v>0.28952941283673073</v>
      </c>
      <c r="AV123" s="154">
        <v>-7.2833253066907563E-2</v>
      </c>
      <c r="AW123" s="155">
        <v>-0.49077482380730053</v>
      </c>
      <c r="AX123" s="123"/>
      <c r="AY123" s="128" t="s">
        <v>113</v>
      </c>
      <c r="AZ123" s="125">
        <v>0.65144201905401988</v>
      </c>
      <c r="BA123" s="126">
        <v>0.42733361531144509</v>
      </c>
      <c r="BB123" s="126">
        <v>-0.19790370773746238</v>
      </c>
      <c r="BC123" s="126">
        <v>0.23308791554547001</v>
      </c>
      <c r="BD123" s="126">
        <v>0.43094953298963345</v>
      </c>
      <c r="BE123" s="126">
        <v>0.37044728806072635</v>
      </c>
      <c r="BF123" s="126">
        <v>0.48476298544299068</v>
      </c>
      <c r="BG123" s="126">
        <v>1.0254714719877422</v>
      </c>
      <c r="BH123" s="126">
        <v>-0.13789737698981791</v>
      </c>
      <c r="BI123" s="126">
        <v>-0.79485091464430158</v>
      </c>
      <c r="BJ123" s="127">
        <v>-0.54550452471913691</v>
      </c>
    </row>
    <row r="124" spans="1:62" ht="20" customHeight="1" x14ac:dyDescent="0.2">
      <c r="A124" s="199"/>
      <c r="B124" s="123"/>
      <c r="C124" s="123"/>
      <c r="D124" s="153">
        <v>-0.10524276783689857</v>
      </c>
      <c r="E124" s="154">
        <v>-0.74599776789546013</v>
      </c>
      <c r="F124" s="154">
        <v>0.53752975491806865</v>
      </c>
      <c r="G124" s="154">
        <v>0.18744094390422106</v>
      </c>
      <c r="H124" s="154">
        <v>0.60928811924532056</v>
      </c>
      <c r="I124" s="154">
        <v>-0.2211772371083498</v>
      </c>
      <c r="J124" s="154">
        <v>-0.56846183026209474</v>
      </c>
      <c r="K124" s="154">
        <v>-0.45588106755167246</v>
      </c>
      <c r="L124" s="154">
        <v>-0.96183050191029906</v>
      </c>
      <c r="M124" s="154">
        <v>-0.44405629485845566</v>
      </c>
      <c r="N124" s="155">
        <v>-0.33206332521513104</v>
      </c>
      <c r="O124" s="156" t="s">
        <v>113</v>
      </c>
      <c r="P124" s="147">
        <v>-7.1728791702603822E-3</v>
      </c>
      <c r="Q124" s="147">
        <v>-0.1510499871624478</v>
      </c>
      <c r="R124" s="147">
        <v>-0.25227912222964716</v>
      </c>
      <c r="S124" s="123"/>
      <c r="T124" s="123"/>
      <c r="V124" s="123"/>
      <c r="W124" s="123"/>
      <c r="X124" s="123"/>
      <c r="Y124" s="123"/>
      <c r="Z124" s="123"/>
      <c r="AA124" s="123"/>
      <c r="AB124" s="123"/>
      <c r="AC124" s="123"/>
      <c r="AD124" s="123"/>
      <c r="AE124" s="147">
        <v>0.99994855156910578</v>
      </c>
      <c r="AF124" s="147">
        <v>0.97752651664558421</v>
      </c>
      <c r="AG124" s="147">
        <v>0.93896141954258949</v>
      </c>
      <c r="AH124" s="156" t="s">
        <v>113</v>
      </c>
      <c r="AI124" s="147">
        <v>0</v>
      </c>
      <c r="AJ124" s="147">
        <v>0</v>
      </c>
      <c r="AK124" s="147">
        <v>0</v>
      </c>
      <c r="AL124" s="156" t="s">
        <v>113</v>
      </c>
      <c r="AM124" s="153">
        <v>0</v>
      </c>
      <c r="AN124" s="154">
        <v>0</v>
      </c>
      <c r="AO124" s="154">
        <v>0</v>
      </c>
      <c r="AP124" s="154">
        <v>0</v>
      </c>
      <c r="AQ124" s="154">
        <v>0</v>
      </c>
      <c r="AR124" s="154">
        <v>0</v>
      </c>
      <c r="AS124" s="154">
        <v>0</v>
      </c>
      <c r="AT124" s="154">
        <v>0</v>
      </c>
      <c r="AU124" s="154">
        <v>0</v>
      </c>
      <c r="AV124" s="154">
        <v>0</v>
      </c>
      <c r="AW124" s="155">
        <v>0</v>
      </c>
      <c r="AX124" s="123"/>
      <c r="AY124" s="128" t="s">
        <v>113</v>
      </c>
      <c r="AZ124" s="125">
        <v>-0.10524276783689857</v>
      </c>
      <c r="BA124" s="126">
        <v>-0.74599776789546013</v>
      </c>
      <c r="BB124" s="126">
        <v>0.53752975491806865</v>
      </c>
      <c r="BC124" s="126">
        <v>0.18744094390422106</v>
      </c>
      <c r="BD124" s="126">
        <v>0.60928811924532056</v>
      </c>
      <c r="BE124" s="126">
        <v>-0.2211772371083498</v>
      </c>
      <c r="BF124" s="126">
        <v>-0.56846183026209474</v>
      </c>
      <c r="BG124" s="126">
        <v>-0.45588106755167246</v>
      </c>
      <c r="BH124" s="126">
        <v>-0.96183050191029906</v>
      </c>
      <c r="BI124" s="126">
        <v>-0.44405629485845566</v>
      </c>
      <c r="BJ124" s="127">
        <v>-0.33206332521513104</v>
      </c>
    </row>
    <row r="125" spans="1:62" ht="20" customHeight="1" x14ac:dyDescent="0.2">
      <c r="A125" s="199"/>
      <c r="B125" s="123"/>
      <c r="C125" s="123"/>
      <c r="D125" s="153">
        <v>0.78321435577461118</v>
      </c>
      <c r="E125" s="154">
        <v>0.88458425136161412</v>
      </c>
      <c r="F125" s="154">
        <v>-0.63213500319496552</v>
      </c>
      <c r="G125" s="154">
        <v>0.7171783219465987</v>
      </c>
      <c r="H125" s="154">
        <v>0.15182164863111339</v>
      </c>
      <c r="I125" s="154">
        <v>-0.30402986588566883</v>
      </c>
      <c r="J125" s="154">
        <v>-0.39162082242732305</v>
      </c>
      <c r="K125" s="154">
        <v>-0.75951792548645991</v>
      </c>
      <c r="L125" s="154">
        <v>0.97408193075459693</v>
      </c>
      <c r="M125" s="154">
        <v>-0.80166828906928567</v>
      </c>
      <c r="N125" s="155">
        <v>0.81388056819819399</v>
      </c>
      <c r="O125" s="156" t="s">
        <v>113</v>
      </c>
      <c r="P125" s="147">
        <v>1.7447181905819393</v>
      </c>
      <c r="Q125" s="147">
        <v>0.48612722896781302</v>
      </c>
      <c r="R125" s="147">
        <v>0.11770641984014307</v>
      </c>
      <c r="S125" s="123"/>
      <c r="T125" s="123"/>
      <c r="V125" s="123"/>
      <c r="W125" s="123"/>
      <c r="X125" s="123"/>
      <c r="Y125" s="123"/>
      <c r="Z125" s="123"/>
      <c r="AA125" s="123"/>
      <c r="AB125" s="123"/>
      <c r="AC125" s="123"/>
      <c r="AD125" s="123"/>
      <c r="AE125" s="147">
        <v>0.1149491607639862</v>
      </c>
      <c r="AF125" s="147">
        <v>0.79647517093993325</v>
      </c>
      <c r="AG125" s="147">
        <v>0.98627217157479863</v>
      </c>
      <c r="AH125" s="156" t="s">
        <v>113</v>
      </c>
      <c r="AI125" s="147">
        <v>-9.9725630259437162E-3</v>
      </c>
      <c r="AJ125" s="147">
        <v>0.20874917810859261</v>
      </c>
      <c r="AK125" s="147">
        <v>0.1504931784196035</v>
      </c>
      <c r="AL125" s="156" t="s">
        <v>113</v>
      </c>
      <c r="AM125" s="153">
        <v>-0.19919849651480342</v>
      </c>
      <c r="AN125" s="154">
        <v>0.32768328414421394</v>
      </c>
      <c r="AO125" s="154">
        <v>0.20241581525451796</v>
      </c>
      <c r="AP125" s="154">
        <v>0.3106403820377257</v>
      </c>
      <c r="AQ125" s="154">
        <v>0.18496679547470357</v>
      </c>
      <c r="AR125" s="154">
        <v>-0.25816584784307656</v>
      </c>
      <c r="AS125" s="154">
        <v>0.24688985489538823</v>
      </c>
      <c r="AT125" s="154">
        <v>0.23035066015063627</v>
      </c>
      <c r="AU125" s="154">
        <v>-0.20972386360288281</v>
      </c>
      <c r="AV125" s="154">
        <v>5.2129436434220716E-2</v>
      </c>
      <c r="AW125" s="155">
        <v>0.3492697935022524</v>
      </c>
      <c r="AX125" s="123"/>
      <c r="AY125" s="128" t="s">
        <v>113</v>
      </c>
      <c r="AZ125" s="125">
        <v>0.80313420542609149</v>
      </c>
      <c r="BA125" s="126">
        <v>0.85181592294719277</v>
      </c>
      <c r="BB125" s="126">
        <v>-0.65237658472041726</v>
      </c>
      <c r="BC125" s="126">
        <v>0.68611428374282613</v>
      </c>
      <c r="BD125" s="126">
        <v>0.13332496908364302</v>
      </c>
      <c r="BE125" s="126">
        <v>-0.27821328110136118</v>
      </c>
      <c r="BF125" s="126">
        <v>-0.4163098079168619</v>
      </c>
      <c r="BG125" s="126">
        <v>-0.78255299150152358</v>
      </c>
      <c r="BH125" s="126">
        <v>0.99505431711488523</v>
      </c>
      <c r="BI125" s="126">
        <v>-0.80688123271270773</v>
      </c>
      <c r="BJ125" s="127">
        <v>0.77895358884796873</v>
      </c>
    </row>
    <row r="126" spans="1:62" ht="20" customHeight="1" x14ac:dyDescent="0.2">
      <c r="A126" s="199"/>
      <c r="B126" s="123"/>
      <c r="C126" s="123"/>
      <c r="D126" s="153">
        <v>0.61147017544135451</v>
      </c>
      <c r="E126" s="154">
        <v>-0.13408753369003534</v>
      </c>
      <c r="F126" s="154">
        <v>0.42012053960934281</v>
      </c>
      <c r="G126" s="154">
        <v>-0.38667081296443939</v>
      </c>
      <c r="H126" s="154">
        <v>-0.76281368779018521</v>
      </c>
      <c r="I126" s="154">
        <v>1.8466987647116184E-2</v>
      </c>
      <c r="J126" s="154">
        <v>-0.76525073824450374</v>
      </c>
      <c r="K126" s="154">
        <v>-0.51294048689305782</v>
      </c>
      <c r="L126" s="154">
        <v>0.20819027861580253</v>
      </c>
      <c r="M126" s="154">
        <v>0.39564891438931227</v>
      </c>
      <c r="N126" s="155">
        <v>-1.8640184309333563E-2</v>
      </c>
      <c r="O126" s="156" t="s">
        <v>113</v>
      </c>
      <c r="P126" s="147">
        <v>-1.3647727026904073</v>
      </c>
      <c r="Q126" s="147">
        <v>-1.9560484997398575</v>
      </c>
      <c r="R126" s="147">
        <v>-1.9177282259031738</v>
      </c>
      <c r="S126" s="123"/>
      <c r="T126" s="123"/>
      <c r="V126" s="123"/>
      <c r="W126" s="123"/>
      <c r="X126" s="123"/>
      <c r="Y126" s="123"/>
      <c r="Z126" s="123"/>
      <c r="AA126" s="123"/>
      <c r="AB126" s="123"/>
      <c r="AC126" s="123"/>
      <c r="AD126" s="123"/>
      <c r="AE126" s="147">
        <v>0.23000181246125251</v>
      </c>
      <c r="AF126" s="147">
        <v>7.6888036147458871E-2</v>
      </c>
      <c r="AG126" s="147">
        <v>8.2753790110039582E-2</v>
      </c>
      <c r="AH126" s="156" t="s">
        <v>113</v>
      </c>
      <c r="AI126" s="147">
        <v>0</v>
      </c>
      <c r="AJ126" s="147">
        <v>0</v>
      </c>
      <c r="AK126" s="147">
        <v>0</v>
      </c>
      <c r="AL126" s="156" t="s">
        <v>113</v>
      </c>
      <c r="AM126" s="153">
        <v>0</v>
      </c>
      <c r="AN126" s="154">
        <v>0</v>
      </c>
      <c r="AO126" s="154">
        <v>0</v>
      </c>
      <c r="AP126" s="154">
        <v>0</v>
      </c>
      <c r="AQ126" s="154">
        <v>0</v>
      </c>
      <c r="AR126" s="154">
        <v>0</v>
      </c>
      <c r="AS126" s="154">
        <v>0</v>
      </c>
      <c r="AT126" s="154">
        <v>0</v>
      </c>
      <c r="AU126" s="154">
        <v>0</v>
      </c>
      <c r="AV126" s="154">
        <v>0</v>
      </c>
      <c r="AW126" s="155">
        <v>0</v>
      </c>
      <c r="AX126" s="123"/>
      <c r="AY126" s="128" t="s">
        <v>113</v>
      </c>
      <c r="AZ126" s="125">
        <v>0.61147017544135451</v>
      </c>
      <c r="BA126" s="126">
        <v>-0.13408753369003534</v>
      </c>
      <c r="BB126" s="126">
        <v>0.42012053960934281</v>
      </c>
      <c r="BC126" s="126">
        <v>-0.38667081296443939</v>
      </c>
      <c r="BD126" s="126">
        <v>-0.76281368779018521</v>
      </c>
      <c r="BE126" s="126">
        <v>1.8466987647116184E-2</v>
      </c>
      <c r="BF126" s="126">
        <v>-0.76525073824450374</v>
      </c>
      <c r="BG126" s="126">
        <v>-0.51294048689305782</v>
      </c>
      <c r="BH126" s="126">
        <v>0.20819027861580253</v>
      </c>
      <c r="BI126" s="126">
        <v>0.39564891438931227</v>
      </c>
      <c r="BJ126" s="127">
        <v>-1.8640184309333563E-2</v>
      </c>
    </row>
    <row r="127" spans="1:62" ht="20" customHeight="1" x14ac:dyDescent="0.2">
      <c r="A127" s="199"/>
      <c r="B127" s="123"/>
      <c r="C127" s="123"/>
      <c r="D127" s="153">
        <v>-0.59269132414249059</v>
      </c>
      <c r="E127" s="154">
        <v>-0.52707841815863243</v>
      </c>
      <c r="F127" s="154">
        <v>0.40041313952721252</v>
      </c>
      <c r="G127" s="154">
        <v>0.78052052178197218</v>
      </c>
      <c r="H127" s="154">
        <v>0.64281041274672102</v>
      </c>
      <c r="I127" s="154">
        <v>0.37883595417118576</v>
      </c>
      <c r="J127" s="154">
        <v>0.69203692712105958</v>
      </c>
      <c r="K127" s="154">
        <v>-0.18450527814894416</v>
      </c>
      <c r="L127" s="154">
        <v>-0.70246633222185872</v>
      </c>
      <c r="M127" s="154">
        <v>-0.74281822611144477</v>
      </c>
      <c r="N127" s="155">
        <v>9.9710720961215665E-2</v>
      </c>
      <c r="O127" s="156" t="s">
        <v>113</v>
      </c>
      <c r="P127" s="148">
        <v>1.0170689121094278</v>
      </c>
      <c r="Q127" s="148">
        <v>1.6253557508174503</v>
      </c>
      <c r="R127" s="148">
        <v>1.5455182042709072</v>
      </c>
      <c r="S127" s="123"/>
      <c r="T127" s="149" t="str">
        <f>HYPERLINK("#Blueprint!torchcode", "&lt;/&gt;")</f>
        <v>&lt;/&gt;</v>
      </c>
      <c r="V127" s="149" t="str">
        <f>HYPERLINK("#Blueprint!torchcode", "&lt;/&gt;")</f>
        <v>&lt;/&gt;</v>
      </c>
      <c r="W127" s="123"/>
      <c r="X127" s="123"/>
      <c r="Y127" s="123"/>
      <c r="Z127" s="123"/>
      <c r="AA127" s="123"/>
      <c r="AB127" s="123"/>
      <c r="AC127" s="123"/>
      <c r="AD127" s="123"/>
      <c r="AE127" s="148">
        <v>0.40914644492373553</v>
      </c>
      <c r="AF127" s="148">
        <v>0.14363975923508343</v>
      </c>
      <c r="AG127" s="148">
        <v>0.1663525249320823</v>
      </c>
      <c r="AH127" s="156" t="s">
        <v>113</v>
      </c>
      <c r="AI127" s="148">
        <v>1.1841557383245251E-2</v>
      </c>
      <c r="AJ127" s="148">
        <v>-7.37179019299639E-2</v>
      </c>
      <c r="AK127" s="148">
        <v>-8.0877512827741249E-2</v>
      </c>
      <c r="AL127" s="156" t="s">
        <v>113</v>
      </c>
      <c r="AM127" s="153">
        <v>8.590345538699562E-2</v>
      </c>
      <c r="AN127" s="154">
        <v>-0.13663010381156293</v>
      </c>
      <c r="AO127" s="154">
        <v>-8.5898026571046782E-2</v>
      </c>
      <c r="AP127" s="154">
        <v>-0.12977908236986052</v>
      </c>
      <c r="AQ127" s="154">
        <v>-7.1673366018997917E-2</v>
      </c>
      <c r="AR127" s="154">
        <v>0.10798775694290892</v>
      </c>
      <c r="AS127" s="154">
        <v>-0.10631434286921274</v>
      </c>
      <c r="AT127" s="154">
        <v>-9.7005977863579396E-2</v>
      </c>
      <c r="AU127" s="154">
        <v>9.1658138868833727E-2</v>
      </c>
      <c r="AV127" s="154">
        <v>-2.8642954852279259E-2</v>
      </c>
      <c r="AW127" s="155">
        <v>-0.14275385737445989</v>
      </c>
      <c r="AX127" s="123"/>
      <c r="AY127" s="128" t="s">
        <v>113</v>
      </c>
      <c r="AZ127" s="125">
        <v>-0.60128166968119012</v>
      </c>
      <c r="BA127" s="126">
        <v>-0.51341540777747618</v>
      </c>
      <c r="BB127" s="126">
        <v>0.40900294218431721</v>
      </c>
      <c r="BC127" s="126">
        <v>0.79349843001895826</v>
      </c>
      <c r="BD127" s="126">
        <v>0.64997774934862085</v>
      </c>
      <c r="BE127" s="126">
        <v>0.36803717847689488</v>
      </c>
      <c r="BF127" s="126">
        <v>0.70266836140798083</v>
      </c>
      <c r="BG127" s="126">
        <v>-0.17480468036258623</v>
      </c>
      <c r="BH127" s="126">
        <v>-0.71163214610874215</v>
      </c>
      <c r="BI127" s="126">
        <v>-0.73995393062621684</v>
      </c>
      <c r="BJ127" s="127">
        <v>0.11398610669866166</v>
      </c>
    </row>
    <row r="128" spans="1:62" ht="20" customHeight="1" x14ac:dyDescent="0.2">
      <c r="A128" s="199"/>
      <c r="B128" s="123"/>
      <c r="C128" s="123"/>
      <c r="D128" s="123"/>
      <c r="E128" s="123"/>
      <c r="F128" s="123"/>
      <c r="G128" s="123"/>
      <c r="H128" s="123"/>
      <c r="I128" s="123"/>
      <c r="J128" s="123"/>
      <c r="K128" s="123"/>
      <c r="L128" s="123"/>
      <c r="M128" s="123"/>
      <c r="N128" s="123"/>
      <c r="O128" s="123"/>
      <c r="P128" s="123"/>
      <c r="Q128" s="123"/>
      <c r="R128" s="123"/>
      <c r="S128" s="123"/>
      <c r="T128" s="150" t="str">
        <f>HYPERLINK("#X", "▲")</f>
        <v>▲</v>
      </c>
      <c r="V128" s="150" t="str">
        <f>HYPERLINK("#X", "▲")</f>
        <v>▲</v>
      </c>
      <c r="W128" s="123"/>
      <c r="X128" s="123"/>
      <c r="Y128" s="123"/>
      <c r="Z128" s="123"/>
      <c r="AA128" s="123"/>
      <c r="AB128" s="123"/>
      <c r="AC128" s="123"/>
      <c r="AD128" s="123"/>
      <c r="AE128" s="123"/>
      <c r="AF128" s="123"/>
      <c r="AG128" s="123"/>
      <c r="AH128" s="123"/>
      <c r="AI128" s="123"/>
      <c r="AJ128" s="123"/>
      <c r="AK128" s="123"/>
      <c r="AL128" s="123"/>
      <c r="AM128" s="123"/>
      <c r="AN128" s="123"/>
      <c r="AO128" s="123"/>
      <c r="AP128" s="123"/>
      <c r="AQ128" s="123"/>
      <c r="AR128" s="123"/>
      <c r="AS128" s="123"/>
      <c r="AT128" s="123"/>
      <c r="AU128" s="123"/>
      <c r="AV128" s="123"/>
      <c r="AW128" s="123"/>
      <c r="AX128" s="123"/>
    </row>
    <row r="129" spans="1:50" ht="20" customHeight="1" x14ac:dyDescent="0.2">
      <c r="P129" s="143" t="s">
        <v>117</v>
      </c>
      <c r="Q129" s="143" t="s">
        <v>117</v>
      </c>
      <c r="R129" s="143" t="s">
        <v>117</v>
      </c>
      <c r="AI129" s="160" t="s">
        <v>128</v>
      </c>
      <c r="AJ129" s="160" t="s">
        <v>128</v>
      </c>
      <c r="AK129" s="160" t="s">
        <v>128</v>
      </c>
    </row>
    <row r="130" spans="1:50" ht="20" customHeight="1" x14ac:dyDescent="0.2">
      <c r="A130" s="198" t="s">
        <v>262</v>
      </c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130"/>
      <c r="M130" s="130"/>
      <c r="N130" s="130"/>
      <c r="O130" s="130"/>
      <c r="P130" s="131" t="s">
        <v>258</v>
      </c>
      <c r="Q130" s="130"/>
      <c r="R130" s="130"/>
      <c r="S130" s="130"/>
      <c r="T130" s="130"/>
      <c r="V130" s="130"/>
      <c r="W130" s="130"/>
      <c r="X130" s="130"/>
      <c r="Y130" s="130"/>
      <c r="Z130" s="130"/>
      <c r="AA130" s="130"/>
      <c r="AB130" s="130"/>
      <c r="AC130" s="130"/>
      <c r="AD130" s="130"/>
      <c r="AE130" s="130"/>
      <c r="AF130" s="130"/>
      <c r="AG130" s="130"/>
      <c r="AH130" s="130"/>
      <c r="AI130" s="131" t="s">
        <v>212</v>
      </c>
      <c r="AJ130" s="130"/>
      <c r="AK130" s="130"/>
      <c r="AL130" s="130"/>
      <c r="AM130" s="130"/>
      <c r="AN130" s="130"/>
      <c r="AO130" s="130"/>
      <c r="AP130" s="130"/>
      <c r="AQ130" s="130"/>
      <c r="AR130" s="130"/>
      <c r="AS130" s="130"/>
      <c r="AT130" s="130"/>
      <c r="AU130" s="130"/>
      <c r="AV130" s="130"/>
      <c r="AW130" s="130"/>
      <c r="AX130" s="130"/>
    </row>
    <row r="131" spans="1:50" ht="20" customHeight="1" x14ac:dyDescent="0.2">
      <c r="A131" s="198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130"/>
      <c r="M131" s="130"/>
      <c r="N131" s="130"/>
      <c r="O131" s="130"/>
      <c r="P131" s="133" t="s">
        <v>259</v>
      </c>
      <c r="Q131" s="130"/>
      <c r="R131" s="130"/>
      <c r="S131" s="130"/>
      <c r="T131" s="130"/>
      <c r="V131" s="130"/>
      <c r="W131" s="130"/>
      <c r="X131" s="130"/>
      <c r="Y131" s="130"/>
      <c r="Z131" s="130"/>
      <c r="AA131" s="130"/>
      <c r="AB131" s="130"/>
      <c r="AC131" s="130"/>
      <c r="AD131" s="130"/>
      <c r="AE131" s="130"/>
      <c r="AF131" s="130"/>
      <c r="AG131" s="162" t="s">
        <v>288</v>
      </c>
      <c r="AH131" s="130"/>
      <c r="AI131" s="133" t="s">
        <v>289</v>
      </c>
      <c r="AJ131" s="130"/>
      <c r="AK131" s="130"/>
      <c r="AL131" s="130"/>
      <c r="AM131" s="130"/>
      <c r="AN131" s="130"/>
      <c r="AO131" s="130"/>
      <c r="AP131" s="130"/>
      <c r="AQ131" s="130"/>
      <c r="AR131" s="130"/>
      <c r="AS131" s="130"/>
      <c r="AT131" s="130"/>
      <c r="AU131" s="130"/>
      <c r="AV131" s="130"/>
      <c r="AW131" s="130"/>
      <c r="AX131" s="130"/>
    </row>
    <row r="132" spans="1:50" ht="20" customHeight="1" x14ac:dyDescent="0.2">
      <c r="A132" s="198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130"/>
      <c r="M132" s="130"/>
      <c r="N132" s="130"/>
      <c r="O132" s="130"/>
      <c r="P132" s="138" cm="1">
        <f t="array" ref="P132:R139">EXP(Blueprint_ep1!P120:R127)</f>
        <v>0.64460434490848106</v>
      </c>
      <c r="Q132" s="138">
        <v>0.39373394532468259</v>
      </c>
      <c r="R132" s="138">
        <v>0.5086589999762452</v>
      </c>
      <c r="S132" s="130"/>
      <c r="T132" s="130"/>
      <c r="V132" s="130"/>
      <c r="W132" s="130"/>
      <c r="X132" s="130"/>
      <c r="Y132" s="130"/>
      <c r="Z132" s="130"/>
      <c r="AA132" s="130"/>
      <c r="AB132" s="130"/>
      <c r="AC132" s="130"/>
      <c r="AD132" s="130"/>
      <c r="AE132" s="138" cm="1">
        <f t="array" ref="AE132:AG139">IF(X_7&gt;0, 1,0)</f>
        <v>0</v>
      </c>
      <c r="AF132" s="138">
        <v>0</v>
      </c>
      <c r="AG132" s="138">
        <v>0</v>
      </c>
      <c r="AH132" s="137" t="s">
        <v>113</v>
      </c>
      <c r="AI132" s="138" cm="1">
        <f t="array" ref="AI132:AK139">G_7 *MaskReLU_7</f>
        <v>0</v>
      </c>
      <c r="AJ132" s="138">
        <v>0</v>
      </c>
      <c r="AK132" s="138">
        <v>0</v>
      </c>
      <c r="AL132" s="130"/>
      <c r="AM132" s="130"/>
      <c r="AN132" s="130"/>
      <c r="AO132" s="130"/>
      <c r="AP132" s="130"/>
      <c r="AQ132" s="130"/>
      <c r="AR132" s="130"/>
      <c r="AS132" s="130"/>
      <c r="AT132" s="130"/>
      <c r="AU132" s="130"/>
      <c r="AV132" s="130"/>
      <c r="AW132" s="130"/>
      <c r="AX132" s="130"/>
    </row>
    <row r="133" spans="1:50" ht="20" customHeight="1" x14ac:dyDescent="0.2">
      <c r="A133" s="198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130"/>
      <c r="M133" s="130"/>
      <c r="N133" s="130"/>
      <c r="O133" s="130"/>
      <c r="P133" s="139">
        <v>0.93389670370523037</v>
      </c>
      <c r="Q133" s="139">
        <v>2.0061245161801482</v>
      </c>
      <c r="R133" s="139">
        <v>2.6343172125247718</v>
      </c>
      <c r="S133" s="130"/>
      <c r="T133" s="130"/>
      <c r="V133" s="130"/>
      <c r="W133" s="130"/>
      <c r="X133" s="130"/>
      <c r="Y133" s="130"/>
      <c r="Z133" s="130"/>
      <c r="AA133" s="130"/>
      <c r="AB133" s="130"/>
      <c r="AC133" s="130"/>
      <c r="AD133" s="130"/>
      <c r="AE133" s="139">
        <v>0</v>
      </c>
      <c r="AF133" s="139">
        <v>1</v>
      </c>
      <c r="AG133" s="139">
        <v>1</v>
      </c>
      <c r="AH133" s="137" t="s">
        <v>113</v>
      </c>
      <c r="AI133" s="139">
        <v>0</v>
      </c>
      <c r="AJ133" s="139">
        <v>0.48016715506370505</v>
      </c>
      <c r="AK133" s="139">
        <v>0.57053231331690935</v>
      </c>
      <c r="AL133" s="130"/>
      <c r="AM133" s="130"/>
      <c r="AN133" s="130"/>
      <c r="AO133" s="130"/>
      <c r="AP133" s="130"/>
      <c r="AQ133" s="130"/>
      <c r="AR133" s="130"/>
      <c r="AS133" s="130"/>
      <c r="AT133" s="130"/>
      <c r="AU133" s="130"/>
      <c r="AV133" s="130"/>
      <c r="AW133" s="130"/>
      <c r="AX133" s="130"/>
    </row>
    <row r="134" spans="1:50" ht="20" customHeight="1" x14ac:dyDescent="0.2">
      <c r="A134" s="198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9">
        <v>0.63366382934404708</v>
      </c>
      <c r="Q134" s="139">
        <v>1.2795275029541451</v>
      </c>
      <c r="R134" s="139">
        <v>1.3962766751043416</v>
      </c>
      <c r="S134" s="130"/>
      <c r="T134" s="130"/>
      <c r="V134" s="130"/>
      <c r="W134" s="130"/>
      <c r="X134" s="130"/>
      <c r="Y134" s="130"/>
      <c r="Z134" s="130"/>
      <c r="AA134" s="130"/>
      <c r="AB134" s="130"/>
      <c r="AC134" s="130"/>
      <c r="AD134" s="130"/>
      <c r="AE134" s="139">
        <v>0</v>
      </c>
      <c r="AF134" s="139">
        <v>1</v>
      </c>
      <c r="AG134" s="139">
        <v>1</v>
      </c>
      <c r="AH134" s="137" t="s">
        <v>113</v>
      </c>
      <c r="AI134" s="139">
        <v>0</v>
      </c>
      <c r="AJ134" s="139">
        <v>-3.3913923922671688E-2</v>
      </c>
      <c r="AK134" s="139">
        <v>-2.5017019100186128E-3</v>
      </c>
      <c r="AL134" s="130"/>
      <c r="AM134" s="130"/>
      <c r="AN134" s="130"/>
      <c r="AO134" s="130"/>
      <c r="AP134" s="130"/>
      <c r="AQ134" s="130"/>
      <c r="AR134" s="130"/>
      <c r="AS134" s="130"/>
      <c r="AT134" s="130"/>
      <c r="AU134" s="130"/>
      <c r="AV134" s="130"/>
      <c r="AW134" s="130"/>
      <c r="AX134" s="130"/>
    </row>
    <row r="135" spans="1:50" ht="20" customHeight="1" x14ac:dyDescent="0.2">
      <c r="A135" s="198"/>
      <c r="B135" s="130"/>
      <c r="C135" s="130"/>
      <c r="D135" s="130"/>
      <c r="E135" s="130"/>
      <c r="F135" s="130"/>
      <c r="G135" s="130"/>
      <c r="H135" s="130"/>
      <c r="I135" s="130"/>
      <c r="J135" s="130"/>
      <c r="K135" s="130"/>
      <c r="L135" s="130"/>
      <c r="M135" s="130"/>
      <c r="N135" s="130"/>
      <c r="O135" s="130"/>
      <c r="P135" s="139">
        <v>1.3468201069364878</v>
      </c>
      <c r="Q135" s="139">
        <v>1.4355562330807388</v>
      </c>
      <c r="R135" s="139">
        <v>1.0941697803440091</v>
      </c>
      <c r="S135" s="130"/>
      <c r="T135" s="130"/>
      <c r="V135" s="130"/>
      <c r="W135" s="130"/>
      <c r="X135" s="130"/>
      <c r="Y135" s="130"/>
      <c r="Z135" s="130"/>
      <c r="AA135" s="130"/>
      <c r="AB135" s="130"/>
      <c r="AC135" s="130"/>
      <c r="AD135" s="130"/>
      <c r="AE135" s="139">
        <v>1</v>
      </c>
      <c r="AF135" s="139">
        <v>1</v>
      </c>
      <c r="AG135" s="139">
        <v>1</v>
      </c>
      <c r="AH135" s="137" t="s">
        <v>113</v>
      </c>
      <c r="AI135" s="139">
        <v>4.7966266576419019E-3</v>
      </c>
      <c r="AJ135" s="139">
        <v>-0.2879975069020127</v>
      </c>
      <c r="AK135" s="139">
        <v>-0.24372978992640526</v>
      </c>
      <c r="AL135" s="130"/>
      <c r="AM135" s="130"/>
      <c r="AN135" s="130"/>
      <c r="AO135" s="130"/>
      <c r="AP135" s="130"/>
      <c r="AQ135" s="130"/>
      <c r="AR135" s="130"/>
      <c r="AS135" s="130"/>
      <c r="AT135" s="130"/>
      <c r="AU135" s="130"/>
      <c r="AV135" s="130"/>
      <c r="AW135" s="130"/>
      <c r="AX135" s="130"/>
    </row>
    <row r="136" spans="1:50" ht="20" customHeight="1" x14ac:dyDescent="0.2">
      <c r="A136" s="198"/>
      <c r="B136" s="130"/>
      <c r="C136" s="130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9">
        <v>0.99285278453000125</v>
      </c>
      <c r="Q136" s="139">
        <v>0.85980471838685213</v>
      </c>
      <c r="R136" s="139">
        <v>0.77702782205912324</v>
      </c>
      <c r="S136" s="130"/>
      <c r="T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9">
        <v>0</v>
      </c>
      <c r="AF136" s="139">
        <v>0</v>
      </c>
      <c r="AG136" s="139">
        <v>0</v>
      </c>
      <c r="AH136" s="137" t="s">
        <v>113</v>
      </c>
      <c r="AI136" s="139">
        <v>0</v>
      </c>
      <c r="AJ136" s="139">
        <v>0</v>
      </c>
      <c r="AK136" s="139">
        <v>0</v>
      </c>
      <c r="AL136" s="130"/>
      <c r="AM136" s="130"/>
      <c r="AN136" s="130"/>
      <c r="AO136" s="130"/>
      <c r="AP136" s="130"/>
      <c r="AQ136" s="130"/>
      <c r="AR136" s="130"/>
      <c r="AS136" s="130"/>
      <c r="AT136" s="130"/>
      <c r="AU136" s="130"/>
      <c r="AV136" s="130"/>
      <c r="AW136" s="130"/>
      <c r="AX136" s="130"/>
    </row>
    <row r="137" spans="1:50" ht="20" customHeight="1" x14ac:dyDescent="0.2">
      <c r="A137" s="198"/>
      <c r="B137" s="130"/>
      <c r="C137" s="130"/>
      <c r="D137" s="130"/>
      <c r="E137" s="130"/>
      <c r="F137" s="130"/>
      <c r="G137" s="130"/>
      <c r="H137" s="130"/>
      <c r="I137" s="130"/>
      <c r="J137" s="130"/>
      <c r="K137" s="130"/>
      <c r="L137" s="130"/>
      <c r="M137" s="130"/>
      <c r="N137" s="130"/>
      <c r="O137" s="130"/>
      <c r="P137" s="139">
        <v>5.7242880898029531</v>
      </c>
      <c r="Q137" s="139">
        <v>1.6260068582258711</v>
      </c>
      <c r="R137" s="139">
        <v>1.1249138105085108</v>
      </c>
      <c r="S137" s="130"/>
      <c r="T137" s="130"/>
      <c r="V137" s="130"/>
      <c r="W137" s="130"/>
      <c r="X137" s="130"/>
      <c r="Y137" s="130"/>
      <c r="Z137" s="130"/>
      <c r="AA137" s="130"/>
      <c r="AB137" s="130"/>
      <c r="AC137" s="130"/>
      <c r="AD137" s="130"/>
      <c r="AE137" s="139">
        <v>1</v>
      </c>
      <c r="AF137" s="139">
        <v>1</v>
      </c>
      <c r="AG137" s="139">
        <v>1</v>
      </c>
      <c r="AH137" s="137" t="s">
        <v>113</v>
      </c>
      <c r="AI137" s="139">
        <v>-8.6756292605036048E-2</v>
      </c>
      <c r="AJ137" s="139">
        <v>0.26209125623118212</v>
      </c>
      <c r="AK137" s="139">
        <v>0.15258787863730183</v>
      </c>
      <c r="AL137" s="130"/>
      <c r="AM137" s="130"/>
      <c r="AN137" s="130"/>
      <c r="AO137" s="130"/>
      <c r="AP137" s="130"/>
      <c r="AQ137" s="130"/>
      <c r="AR137" s="130"/>
      <c r="AS137" s="130"/>
      <c r="AT137" s="130"/>
      <c r="AU137" s="130"/>
      <c r="AV137" s="130"/>
      <c r="AW137" s="130"/>
      <c r="AX137" s="130"/>
    </row>
    <row r="138" spans="1:50" ht="20" customHeight="1" x14ac:dyDescent="0.2">
      <c r="A138" s="198"/>
      <c r="B138" s="130"/>
      <c r="C138" s="130"/>
      <c r="D138" s="130"/>
      <c r="E138" s="130"/>
      <c r="F138" s="130"/>
      <c r="G138" s="130"/>
      <c r="H138" s="130"/>
      <c r="I138" s="130"/>
      <c r="J138" s="130"/>
      <c r="K138" s="130"/>
      <c r="L138" s="130"/>
      <c r="M138" s="130"/>
      <c r="N138" s="130"/>
      <c r="O138" s="130"/>
      <c r="P138" s="139">
        <v>0.2554387299261538</v>
      </c>
      <c r="Q138" s="139">
        <v>0.14141612416453248</v>
      </c>
      <c r="R138" s="139">
        <v>0.14694039863213179</v>
      </c>
      <c r="S138" s="130"/>
      <c r="T138" s="130"/>
      <c r="V138" s="130"/>
      <c r="W138" s="130"/>
      <c r="X138" s="130"/>
      <c r="Y138" s="130"/>
      <c r="Z138" s="130"/>
      <c r="AA138" s="130"/>
      <c r="AB138" s="130"/>
      <c r="AC138" s="130"/>
      <c r="AD138" s="130"/>
      <c r="AE138" s="139">
        <v>0</v>
      </c>
      <c r="AF138" s="139">
        <v>0</v>
      </c>
      <c r="AG138" s="139">
        <v>0</v>
      </c>
      <c r="AH138" s="137" t="s">
        <v>113</v>
      </c>
      <c r="AI138" s="139">
        <v>0</v>
      </c>
      <c r="AJ138" s="139">
        <v>0</v>
      </c>
      <c r="AK138" s="139">
        <v>0</v>
      </c>
      <c r="AL138" s="130"/>
      <c r="AM138" s="130"/>
      <c r="AN138" s="130"/>
      <c r="AO138" s="130"/>
      <c r="AP138" s="130"/>
      <c r="AQ138" s="130"/>
      <c r="AR138" s="130"/>
      <c r="AS138" s="130"/>
      <c r="AT138" s="130"/>
      <c r="AU138" s="130"/>
      <c r="AV138" s="130"/>
      <c r="AW138" s="130"/>
      <c r="AX138" s="130"/>
    </row>
    <row r="139" spans="1:50" ht="20" customHeight="1" x14ac:dyDescent="0.2">
      <c r="A139" s="198"/>
      <c r="B139" s="130"/>
      <c r="C139" s="130"/>
      <c r="D139" s="130"/>
      <c r="E139" s="130"/>
      <c r="F139" s="130"/>
      <c r="G139" s="130"/>
      <c r="H139" s="130"/>
      <c r="I139" s="130"/>
      <c r="J139" s="130"/>
      <c r="K139" s="130"/>
      <c r="L139" s="130"/>
      <c r="M139" s="130"/>
      <c r="N139" s="130"/>
      <c r="O139" s="130"/>
      <c r="P139" s="140">
        <v>2.765078187384086</v>
      </c>
      <c r="Q139" s="140">
        <v>5.0802260103009385</v>
      </c>
      <c r="R139" s="140">
        <v>4.6904015834935615</v>
      </c>
      <c r="S139" s="130"/>
      <c r="T139" s="130"/>
      <c r="V139" s="130"/>
      <c r="W139" s="130"/>
      <c r="X139" s="130"/>
      <c r="Y139" s="130"/>
      <c r="Z139" s="130"/>
      <c r="AA139" s="130"/>
      <c r="AB139" s="130"/>
      <c r="AC139" s="130"/>
      <c r="AD139" s="130"/>
      <c r="AE139" s="140">
        <v>1</v>
      </c>
      <c r="AF139" s="140">
        <v>1</v>
      </c>
      <c r="AG139" s="140">
        <v>1</v>
      </c>
      <c r="AH139" s="137" t="s">
        <v>113</v>
      </c>
      <c r="AI139" s="140">
        <v>2.8942100145713121E-2</v>
      </c>
      <c r="AJ139" s="140">
        <v>-0.51321376701360133</v>
      </c>
      <c r="AK139" s="140">
        <v>-0.48618145628244341</v>
      </c>
      <c r="AL139" s="130"/>
      <c r="AM139" s="130"/>
      <c r="AN139" s="130"/>
      <c r="AO139" s="130"/>
      <c r="AP139" s="130"/>
      <c r="AQ139" s="130"/>
      <c r="AR139" s="130"/>
      <c r="AS139" s="130"/>
      <c r="AT139" s="130"/>
      <c r="AU139" s="130"/>
      <c r="AV139" s="130"/>
      <c r="AW139" s="130"/>
      <c r="AX139" s="130"/>
    </row>
    <row r="140" spans="1:50" ht="20" customHeight="1" x14ac:dyDescent="0.2">
      <c r="A140" s="198"/>
      <c r="B140" s="130"/>
      <c r="C140" s="130"/>
      <c r="D140" s="130"/>
      <c r="E140" s="130"/>
      <c r="F140" s="130"/>
      <c r="G140" s="130"/>
      <c r="H140" s="130"/>
      <c r="I140" s="130"/>
      <c r="J140" s="130"/>
      <c r="K140" s="130"/>
      <c r="L140" s="130"/>
      <c r="M140" s="130"/>
      <c r="N140" s="130"/>
      <c r="O140" s="130"/>
      <c r="P140" s="133" t="s">
        <v>260</v>
      </c>
      <c r="Q140" s="130"/>
      <c r="R140" s="130"/>
      <c r="S140" s="130"/>
      <c r="T140" s="130"/>
      <c r="V140" s="130"/>
      <c r="W140" s="130"/>
      <c r="X140" s="130"/>
      <c r="Y140" s="130"/>
      <c r="Z140" s="130"/>
      <c r="AA140" s="130"/>
      <c r="AB140" s="130"/>
      <c r="AC140" s="130"/>
      <c r="AD140" s="130"/>
      <c r="AE140" s="130"/>
      <c r="AF140" s="130"/>
      <c r="AG140" s="130"/>
      <c r="AH140" s="130"/>
      <c r="AI140" s="130"/>
      <c r="AJ140" s="130"/>
      <c r="AK140" s="130"/>
      <c r="AL140" s="130"/>
      <c r="AM140" s="130"/>
      <c r="AN140" s="130"/>
      <c r="AO140" s="130"/>
      <c r="AP140" s="130"/>
      <c r="AQ140" s="130"/>
      <c r="AR140" s="130"/>
      <c r="AS140" s="130"/>
      <c r="AT140" s="130"/>
      <c r="AU140" s="130"/>
      <c r="AV140" s="130"/>
      <c r="AW140" s="130"/>
      <c r="AX140" s="130"/>
    </row>
    <row r="141" spans="1:50" ht="20" customHeight="1" x14ac:dyDescent="0.2">
      <c r="A141" s="198"/>
      <c r="B141" s="130"/>
      <c r="C141" s="130"/>
      <c r="D141" s="130"/>
      <c r="E141" s="130"/>
      <c r="F141" s="130"/>
      <c r="G141" s="130"/>
      <c r="H141" s="130"/>
      <c r="I141" s="130"/>
      <c r="J141" s="130"/>
      <c r="K141" s="130"/>
      <c r="L141" s="130"/>
      <c r="M141" s="130"/>
      <c r="N141" s="130"/>
      <c r="O141" s="130"/>
      <c r="P141" s="138" cm="1">
        <f t="array" ref="P141:R148">EXP(-Blueprint_ep1!P120:R127)</f>
        <v>1.5513392174574574</v>
      </c>
      <c r="Q141" s="138">
        <v>2.5397860963584828</v>
      </c>
      <c r="R141" s="138">
        <v>1.9659536153822126</v>
      </c>
      <c r="S141" s="130"/>
      <c r="T141" s="130"/>
      <c r="V141" s="130"/>
      <c r="W141" s="130"/>
      <c r="X141" s="130"/>
      <c r="Y141" s="130"/>
      <c r="Z141" s="130"/>
      <c r="AA141" s="130"/>
      <c r="AB141" s="130"/>
      <c r="AC141" s="130"/>
      <c r="AD141" s="130"/>
      <c r="AE141" s="130"/>
      <c r="AF141" s="130"/>
      <c r="AG141" s="130"/>
      <c r="AH141" s="130"/>
      <c r="AI141" s="130"/>
      <c r="AJ141" s="130"/>
      <c r="AK141" s="130"/>
      <c r="AL141" s="130"/>
      <c r="AM141" s="130"/>
      <c r="AN141" s="130"/>
      <c r="AO141" s="130"/>
      <c r="AP141" s="130"/>
      <c r="AQ141" s="130"/>
      <c r="AR141" s="130"/>
      <c r="AS141" s="130"/>
      <c r="AT141" s="130"/>
      <c r="AU141" s="130"/>
      <c r="AV141" s="130"/>
      <c r="AW141" s="130"/>
      <c r="AX141" s="130"/>
    </row>
    <row r="142" spans="1:50" ht="20" customHeight="1" x14ac:dyDescent="0.2">
      <c r="A142" s="198"/>
      <c r="B142" s="130"/>
      <c r="C142" s="130"/>
      <c r="D142" s="130"/>
      <c r="E142" s="130"/>
      <c r="F142" s="130"/>
      <c r="G142" s="130"/>
      <c r="H142" s="130"/>
      <c r="I142" s="130"/>
      <c r="J142" s="130"/>
      <c r="K142" s="130"/>
      <c r="L142" s="130"/>
      <c r="M142" s="130"/>
      <c r="N142" s="130"/>
      <c r="O142" s="130"/>
      <c r="P142" s="139">
        <v>1.0707822353719691</v>
      </c>
      <c r="Q142" s="139">
        <v>0.49847354535305471</v>
      </c>
      <c r="R142" s="139">
        <v>0.37960500551927989</v>
      </c>
      <c r="S142" s="130"/>
      <c r="T142" s="130"/>
      <c r="V142" s="130"/>
      <c r="W142" s="130"/>
      <c r="X142" s="130"/>
      <c r="Y142" s="130"/>
      <c r="Z142" s="130"/>
      <c r="AA142" s="130"/>
      <c r="AB142" s="130"/>
      <c r="AC142" s="130"/>
      <c r="AD142" s="130"/>
      <c r="AE142" s="130"/>
      <c r="AF142" s="130"/>
      <c r="AG142" s="130"/>
      <c r="AH142" s="130"/>
      <c r="AI142" s="130"/>
      <c r="AJ142" s="130"/>
      <c r="AK142" s="130"/>
      <c r="AL142" s="130"/>
      <c r="AM142" s="130"/>
      <c r="AN142" s="130"/>
      <c r="AO142" s="130"/>
      <c r="AP142" s="130"/>
      <c r="AQ142" s="130"/>
      <c r="AR142" s="130"/>
      <c r="AS142" s="130"/>
      <c r="AT142" s="130"/>
      <c r="AU142" s="130"/>
      <c r="AV142" s="130"/>
      <c r="AW142" s="130"/>
      <c r="AX142" s="130"/>
    </row>
    <row r="143" spans="1:50" ht="20" customHeight="1" x14ac:dyDescent="0.2">
      <c r="A143" s="198"/>
      <c r="B143" s="130"/>
      <c r="C143" s="130"/>
      <c r="D143" s="130"/>
      <c r="E143" s="130"/>
      <c r="F143" s="130"/>
      <c r="G143" s="130"/>
      <c r="H143" s="130"/>
      <c r="I143" s="130"/>
      <c r="J143" s="130"/>
      <c r="K143" s="130"/>
      <c r="L143" s="130"/>
      <c r="M143" s="130"/>
      <c r="N143" s="130"/>
      <c r="O143" s="130"/>
      <c r="P143" s="139">
        <v>1.578123846890827</v>
      </c>
      <c r="Q143" s="139">
        <v>0.78153849580507007</v>
      </c>
      <c r="R143" s="139">
        <v>0.71619043548462313</v>
      </c>
      <c r="S143" s="130"/>
      <c r="T143" s="130"/>
      <c r="V143" s="130"/>
      <c r="W143" s="130"/>
      <c r="X143" s="130"/>
      <c r="Y143" s="130"/>
      <c r="Z143" s="130"/>
      <c r="AA143" s="130"/>
      <c r="AB143" s="130"/>
      <c r="AC143" s="130"/>
      <c r="AD143" s="130"/>
      <c r="AE143" s="130"/>
      <c r="AF143" s="130"/>
      <c r="AG143" s="130"/>
      <c r="AH143" s="130"/>
      <c r="AI143" s="130"/>
      <c r="AJ143" s="130"/>
      <c r="AK143" s="130"/>
      <c r="AL143" s="130"/>
      <c r="AM143" s="130"/>
      <c r="AN143" s="130"/>
      <c r="AO143" s="130"/>
      <c r="AP143" s="130"/>
      <c r="AQ143" s="130"/>
      <c r="AR143" s="130"/>
      <c r="AS143" s="130"/>
      <c r="AT143" s="130"/>
      <c r="AU143" s="130"/>
      <c r="AV143" s="130"/>
      <c r="AW143" s="130"/>
      <c r="AX143" s="130"/>
    </row>
    <row r="144" spans="1:50" ht="20" customHeight="1" x14ac:dyDescent="0.2">
      <c r="A144" s="198"/>
      <c r="B144" s="130"/>
      <c r="C144" s="130"/>
      <c r="D144" s="130"/>
      <c r="E144" s="130"/>
      <c r="F144" s="130"/>
      <c r="G144" s="130"/>
      <c r="H144" s="130"/>
      <c r="I144" s="130"/>
      <c r="J144" s="130"/>
      <c r="K144" s="130"/>
      <c r="L144" s="130"/>
      <c r="M144" s="130"/>
      <c r="N144" s="130"/>
      <c r="O144" s="130"/>
      <c r="P144" s="139">
        <v>0.74248965756430985</v>
      </c>
      <c r="Q144" s="139">
        <v>0.69659409847984533</v>
      </c>
      <c r="R144" s="139">
        <v>0.9139349468101724</v>
      </c>
      <c r="S144" s="130"/>
      <c r="T144" s="130"/>
      <c r="V144" s="130"/>
      <c r="W144" s="130"/>
      <c r="X144" s="130"/>
      <c r="Y144" s="130"/>
      <c r="Z144" s="130"/>
      <c r="AA144" s="130"/>
      <c r="AB144" s="130"/>
      <c r="AC144" s="130"/>
      <c r="AD144" s="130"/>
      <c r="AE144" s="130"/>
      <c r="AF144" s="130"/>
      <c r="AG144" s="130"/>
      <c r="AH144" s="130"/>
      <c r="AI144" s="130"/>
      <c r="AJ144" s="130"/>
      <c r="AK144" s="130"/>
      <c r="AL144" s="130"/>
      <c r="AM144" s="130"/>
      <c r="AN144" s="130"/>
      <c r="AO144" s="130"/>
      <c r="AP144" s="130"/>
      <c r="AQ144" s="130"/>
      <c r="AR144" s="130"/>
      <c r="AS144" s="130"/>
      <c r="AT144" s="130"/>
      <c r="AU144" s="130"/>
      <c r="AV144" s="130"/>
      <c r="AW144" s="130"/>
      <c r="AX144" s="130"/>
    </row>
    <row r="145" spans="1:50" ht="20" customHeight="1" x14ac:dyDescent="0.2">
      <c r="A145" s="198"/>
      <c r="B145" s="130"/>
      <c r="C145" s="130"/>
      <c r="D145" s="130"/>
      <c r="E145" s="130"/>
      <c r="F145" s="130"/>
      <c r="G145" s="130"/>
      <c r="H145" s="130"/>
      <c r="I145" s="130"/>
      <c r="J145" s="130"/>
      <c r="K145" s="130"/>
      <c r="L145" s="130"/>
      <c r="M145" s="130"/>
      <c r="N145" s="130"/>
      <c r="O145" s="130"/>
      <c r="P145" s="139">
        <v>1.0071986658861838</v>
      </c>
      <c r="Q145" s="139">
        <v>1.1630547944377176</v>
      </c>
      <c r="R145" s="139">
        <v>1.2869552049629325</v>
      </c>
      <c r="S145" s="130"/>
      <c r="T145" s="130"/>
      <c r="V145" s="130"/>
      <c r="W145" s="130"/>
      <c r="X145" s="130"/>
      <c r="Y145" s="130"/>
      <c r="Z145" s="130"/>
      <c r="AA145" s="130"/>
      <c r="AB145" s="130"/>
      <c r="AC145" s="130"/>
      <c r="AD145" s="130"/>
      <c r="AE145" s="130"/>
      <c r="AF145" s="130"/>
      <c r="AG145" s="130"/>
      <c r="AH145" s="130"/>
      <c r="AI145" s="130"/>
      <c r="AJ145" s="130"/>
      <c r="AK145" s="130"/>
      <c r="AL145" s="130"/>
      <c r="AM145" s="130"/>
      <c r="AN145" s="130"/>
      <c r="AO145" s="130"/>
      <c r="AP145" s="130"/>
      <c r="AQ145" s="130"/>
      <c r="AR145" s="130"/>
      <c r="AS145" s="130"/>
      <c r="AT145" s="130"/>
      <c r="AU145" s="130"/>
      <c r="AV145" s="130"/>
      <c r="AW145" s="130"/>
      <c r="AX145" s="130"/>
    </row>
    <row r="146" spans="1:50" ht="20" customHeight="1" x14ac:dyDescent="0.2">
      <c r="A146" s="198"/>
      <c r="B146" s="130"/>
      <c r="C146" s="130"/>
      <c r="D146" s="130"/>
      <c r="E146" s="130"/>
      <c r="F146" s="130"/>
      <c r="G146" s="130"/>
      <c r="H146" s="130"/>
      <c r="I146" s="130"/>
      <c r="J146" s="130"/>
      <c r="K146" s="130"/>
      <c r="L146" s="130"/>
      <c r="M146" s="130"/>
      <c r="N146" s="130"/>
      <c r="O146" s="130"/>
      <c r="P146" s="139">
        <v>0.17469421250502137</v>
      </c>
      <c r="Q146" s="139">
        <v>0.61500355606808177</v>
      </c>
      <c r="R146" s="139">
        <v>0.88895699444560616</v>
      </c>
      <c r="S146" s="130"/>
      <c r="T146" s="130"/>
      <c r="V146" s="130"/>
      <c r="W146" s="130"/>
      <c r="X146" s="130"/>
      <c r="Y146" s="130"/>
      <c r="Z146" s="130"/>
      <c r="AA146" s="130"/>
      <c r="AB146" s="130"/>
      <c r="AC146" s="130"/>
      <c r="AD146" s="130"/>
      <c r="AE146" s="130"/>
      <c r="AF146" s="130"/>
      <c r="AG146" s="130"/>
      <c r="AH146" s="130"/>
      <c r="AI146" s="130"/>
      <c r="AJ146" s="130"/>
      <c r="AK146" s="130"/>
      <c r="AL146" s="130"/>
      <c r="AM146" s="130"/>
      <c r="AN146" s="130"/>
      <c r="AO146" s="130"/>
      <c r="AP146" s="130"/>
      <c r="AQ146" s="130"/>
      <c r="AR146" s="130"/>
      <c r="AS146" s="130"/>
      <c r="AT146" s="130"/>
      <c r="AU146" s="130"/>
      <c r="AV146" s="130"/>
      <c r="AW146" s="130"/>
      <c r="AX146" s="130"/>
    </row>
    <row r="147" spans="1:50" ht="20" customHeight="1" x14ac:dyDescent="0.2">
      <c r="A147" s="198"/>
      <c r="B147" s="130"/>
      <c r="C147" s="130"/>
      <c r="D147" s="130"/>
      <c r="E147" s="130"/>
      <c r="F147" s="130"/>
      <c r="G147" s="130"/>
      <c r="H147" s="130"/>
      <c r="I147" s="130"/>
      <c r="J147" s="130"/>
      <c r="K147" s="130"/>
      <c r="L147" s="130"/>
      <c r="M147" s="130"/>
      <c r="N147" s="130"/>
      <c r="O147" s="130"/>
      <c r="P147" s="139">
        <v>3.9148331198213193</v>
      </c>
      <c r="Q147" s="139">
        <v>7.0713294251830625</v>
      </c>
      <c r="R147" s="139">
        <v>6.8054803805420443</v>
      </c>
      <c r="S147" s="130"/>
      <c r="T147" s="130"/>
      <c r="V147" s="130"/>
      <c r="W147" s="130"/>
      <c r="X147" s="130"/>
      <c r="Y147" s="130"/>
      <c r="Z147" s="130"/>
      <c r="AA147" s="130"/>
      <c r="AB147" s="130"/>
      <c r="AC147" s="130"/>
      <c r="AD147" s="130"/>
      <c r="AE147" s="130"/>
      <c r="AF147" s="130"/>
      <c r="AG147" s="130"/>
      <c r="AH147" s="130"/>
      <c r="AI147" s="130"/>
      <c r="AJ147" s="130"/>
      <c r="AK147" s="130"/>
      <c r="AL147" s="130"/>
      <c r="AM147" s="130"/>
      <c r="AN147" s="130"/>
      <c r="AO147" s="130"/>
      <c r="AP147" s="130"/>
      <c r="AQ147" s="130"/>
      <c r="AR147" s="130"/>
      <c r="AS147" s="130"/>
      <c r="AT147" s="130"/>
      <c r="AU147" s="130"/>
      <c r="AV147" s="130"/>
      <c r="AW147" s="130"/>
      <c r="AX147" s="130"/>
    </row>
    <row r="148" spans="1:50" ht="20" customHeight="1" x14ac:dyDescent="0.2">
      <c r="A148" s="198"/>
      <c r="B148" s="130"/>
      <c r="C148" s="130"/>
      <c r="D148" s="130"/>
      <c r="E148" s="130"/>
      <c r="F148" s="130"/>
      <c r="G148" s="130"/>
      <c r="H148" s="130"/>
      <c r="I148" s="130"/>
      <c r="J148" s="130"/>
      <c r="K148" s="130"/>
      <c r="L148" s="130"/>
      <c r="M148" s="130"/>
      <c r="N148" s="130"/>
      <c r="O148" s="130"/>
      <c r="P148" s="140">
        <v>0.36165342613550261</v>
      </c>
      <c r="Q148" s="140">
        <v>0.19684163617373449</v>
      </c>
      <c r="R148" s="140">
        <v>0.21320136073618839</v>
      </c>
      <c r="S148" s="130"/>
      <c r="T148" s="130"/>
      <c r="V148" s="130"/>
      <c r="W148" s="130"/>
      <c r="X148" s="130"/>
      <c r="Y148" s="130"/>
      <c r="Z148" s="130"/>
      <c r="AA148" s="130"/>
      <c r="AB148" s="130"/>
      <c r="AC148" s="130"/>
      <c r="AD148" s="130"/>
      <c r="AE148" s="130"/>
      <c r="AF148" s="130"/>
      <c r="AG148" s="130"/>
      <c r="AH148" s="130"/>
      <c r="AI148" s="130"/>
      <c r="AJ148" s="130"/>
      <c r="AK148" s="130"/>
      <c r="AL148" s="130"/>
      <c r="AM148" s="130"/>
      <c r="AN148" s="130"/>
      <c r="AO148" s="130"/>
      <c r="AP148" s="130"/>
      <c r="AQ148" s="130"/>
      <c r="AR148" s="130"/>
      <c r="AS148" s="130"/>
      <c r="AT148" s="130"/>
      <c r="AU148" s="130"/>
      <c r="AV148" s="130"/>
      <c r="AW148" s="130"/>
      <c r="AX148" s="130"/>
    </row>
    <row r="149" spans="1:50" ht="20" customHeight="1" x14ac:dyDescent="0.2">
      <c r="A149" s="198"/>
      <c r="B149" s="130"/>
      <c r="C149" s="130"/>
      <c r="D149" s="130"/>
      <c r="E149" s="130"/>
      <c r="F149" s="130"/>
      <c r="G149" s="130"/>
      <c r="H149" s="130"/>
      <c r="I149" s="130"/>
      <c r="J149" s="130"/>
      <c r="K149" s="130"/>
      <c r="L149" s="130"/>
      <c r="M149" s="130"/>
      <c r="N149" s="130"/>
      <c r="O149" s="130"/>
      <c r="P149" s="133" t="s">
        <v>261</v>
      </c>
      <c r="Q149" s="130"/>
      <c r="R149" s="130"/>
      <c r="S149" s="130"/>
      <c r="T149" s="130"/>
      <c r="V149" s="130"/>
      <c r="W149" s="130"/>
      <c r="X149" s="130"/>
      <c r="Y149" s="130"/>
      <c r="Z149" s="130"/>
      <c r="AA149" s="130"/>
      <c r="AB149" s="130"/>
      <c r="AC149" s="130"/>
      <c r="AD149" s="130"/>
      <c r="AE149" s="130"/>
      <c r="AF149" s="130"/>
      <c r="AG149" s="130"/>
      <c r="AH149" s="130"/>
      <c r="AI149" s="130"/>
      <c r="AJ149" s="130"/>
      <c r="AK149" s="130"/>
      <c r="AL149" s="130"/>
      <c r="AM149" s="130"/>
      <c r="AN149" s="130"/>
      <c r="AO149" s="130"/>
      <c r="AP149" s="130"/>
      <c r="AQ149" s="130"/>
      <c r="AR149" s="130"/>
      <c r="AS149" s="130"/>
      <c r="AT149" s="130"/>
      <c r="AU149" s="130"/>
      <c r="AV149" s="130"/>
      <c r="AW149" s="130"/>
      <c r="AX149" s="130"/>
    </row>
    <row r="150" spans="1:50" ht="20" customHeight="1" x14ac:dyDescent="0.2">
      <c r="A150" s="198"/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8" cm="1">
        <f t="array" ref="P150:R157">(Blueprint_ep1!P132:R139-Blueprint_ep1!P141:R148)/(Blueprint_ep1!P132:R139+Blueprint_ep1!P141:R148)</f>
        <v>-0.41291355938676688</v>
      </c>
      <c r="Q150" s="138">
        <v>-0.73156212350349581</v>
      </c>
      <c r="R150" s="138">
        <v>-0.58889807898068613</v>
      </c>
      <c r="S150" s="130"/>
      <c r="T150" s="130"/>
      <c r="V150" s="130"/>
      <c r="W150" s="130"/>
      <c r="X150" s="130"/>
      <c r="Y150" s="130"/>
      <c r="Z150" s="130"/>
      <c r="AA150" s="130"/>
      <c r="AB150" s="130"/>
      <c r="AC150" s="130"/>
      <c r="AD150" s="130"/>
      <c r="AE150" s="130"/>
      <c r="AF150" s="130"/>
      <c r="AG150" s="130"/>
      <c r="AH150" s="130"/>
      <c r="AI150" s="130"/>
      <c r="AJ150" s="130"/>
      <c r="AK150" s="130"/>
      <c r="AL150" s="130"/>
      <c r="AM150" s="130"/>
      <c r="AN150" s="130"/>
      <c r="AO150" s="130"/>
      <c r="AP150" s="130"/>
      <c r="AQ150" s="130"/>
      <c r="AR150" s="130"/>
      <c r="AS150" s="130"/>
      <c r="AT150" s="130"/>
      <c r="AU150" s="130"/>
      <c r="AV150" s="130"/>
      <c r="AW150" s="130"/>
      <c r="AX150" s="130"/>
    </row>
    <row r="151" spans="1:50" ht="20" customHeight="1" x14ac:dyDescent="0.2">
      <c r="A151" s="198"/>
      <c r="B151" s="130"/>
      <c r="C151" s="130"/>
      <c r="D151" s="130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9">
        <v>-6.8283019788570432E-2</v>
      </c>
      <c r="Q151" s="139">
        <v>0.60195326107701963</v>
      </c>
      <c r="R151" s="139">
        <v>0.74809900318818945</v>
      </c>
      <c r="S151" s="130"/>
      <c r="T151" s="130"/>
      <c r="V151" s="130"/>
      <c r="W151" s="130"/>
      <c r="X151" s="130"/>
      <c r="Y151" s="130"/>
      <c r="Z151" s="130"/>
      <c r="AA151" s="130"/>
      <c r="AB151" s="130"/>
      <c r="AC151" s="130"/>
      <c r="AD151" s="130"/>
      <c r="AE151" s="130"/>
      <c r="AF151" s="130"/>
      <c r="AG151" s="130"/>
      <c r="AH151" s="130"/>
      <c r="AI151" s="130"/>
      <c r="AJ151" s="130"/>
      <c r="AK151" s="130"/>
      <c r="AL151" s="130"/>
      <c r="AM151" s="130"/>
      <c r="AN151" s="130"/>
      <c r="AO151" s="130"/>
      <c r="AP151" s="130"/>
      <c r="AQ151" s="130"/>
      <c r="AR151" s="130"/>
      <c r="AS151" s="130"/>
      <c r="AT151" s="130"/>
      <c r="AU151" s="130"/>
      <c r="AV151" s="130"/>
      <c r="AW151" s="130"/>
      <c r="AX151" s="130"/>
    </row>
    <row r="152" spans="1:50" ht="20" customHeight="1" x14ac:dyDescent="0.2">
      <c r="A152" s="198"/>
      <c r="B152" s="130"/>
      <c r="C152" s="130"/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9">
        <v>-0.42701206254776414</v>
      </c>
      <c r="Q152" s="139">
        <v>0.24161720558626945</v>
      </c>
      <c r="R152" s="139">
        <v>0.32193932687080157</v>
      </c>
      <c r="S152" s="130"/>
      <c r="T152" s="130"/>
      <c r="V152" s="130"/>
      <c r="W152" s="130"/>
      <c r="X152" s="130"/>
      <c r="Y152" s="130"/>
      <c r="Z152" s="130"/>
      <c r="AA152" s="130"/>
      <c r="AB152" s="130"/>
      <c r="AC152" s="130"/>
      <c r="AD152" s="130"/>
      <c r="AE152" s="130"/>
      <c r="AF152" s="130"/>
      <c r="AG152" s="130"/>
      <c r="AH152" s="130"/>
      <c r="AI152" s="130"/>
      <c r="AJ152" s="130"/>
      <c r="AK152" s="130"/>
      <c r="AL152" s="130"/>
      <c r="AM152" s="130"/>
      <c r="AN152" s="130"/>
      <c r="AO152" s="130"/>
      <c r="AP152" s="130"/>
      <c r="AQ152" s="130"/>
      <c r="AR152" s="130"/>
      <c r="AS152" s="130"/>
      <c r="AT152" s="130"/>
      <c r="AU152" s="130"/>
      <c r="AV152" s="130"/>
      <c r="AW152" s="130"/>
      <c r="AX152" s="130"/>
    </row>
    <row r="153" spans="1:50" ht="20" customHeight="1" x14ac:dyDescent="0.2">
      <c r="A153" s="198"/>
      <c r="B153" s="130"/>
      <c r="C153" s="130"/>
      <c r="D153" s="130"/>
      <c r="E153" s="130"/>
      <c r="F153" s="130"/>
      <c r="G153" s="130"/>
      <c r="H153" s="130"/>
      <c r="I153" s="130"/>
      <c r="J153" s="130"/>
      <c r="K153" s="130"/>
      <c r="L153" s="130"/>
      <c r="M153" s="130"/>
      <c r="N153" s="130"/>
      <c r="O153" s="130"/>
      <c r="P153" s="139">
        <v>0.28924885129064221</v>
      </c>
      <c r="Q153" s="139">
        <v>0.34658069070581204</v>
      </c>
      <c r="R153" s="139">
        <v>8.9753702133483576E-2</v>
      </c>
      <c r="S153" s="130"/>
      <c r="T153" s="130"/>
      <c r="V153" s="130"/>
      <c r="W153" s="130"/>
      <c r="X153" s="130"/>
      <c r="Y153" s="130"/>
      <c r="Z153" s="130"/>
      <c r="AA153" s="130"/>
      <c r="AB153" s="130"/>
      <c r="AC153" s="130"/>
      <c r="AD153" s="130"/>
      <c r="AE153" s="130"/>
      <c r="AF153" s="130"/>
      <c r="AG153" s="130"/>
      <c r="AH153" s="130"/>
      <c r="AI153" s="130"/>
      <c r="AJ153" s="130"/>
      <c r="AK153" s="130"/>
      <c r="AL153" s="130"/>
      <c r="AM153" s="130"/>
      <c r="AN153" s="130"/>
      <c r="AO153" s="130"/>
      <c r="AP153" s="130"/>
      <c r="AQ153" s="130"/>
      <c r="AR153" s="130"/>
      <c r="AS153" s="130"/>
      <c r="AT153" s="130"/>
      <c r="AU153" s="130"/>
      <c r="AV153" s="130"/>
      <c r="AW153" s="130"/>
      <c r="AX153" s="130"/>
    </row>
    <row r="154" spans="1:50" ht="20" customHeight="1" x14ac:dyDescent="0.2">
      <c r="A154" s="198"/>
      <c r="B154" s="130"/>
      <c r="C154" s="130"/>
      <c r="D154" s="130"/>
      <c r="E154" s="130"/>
      <c r="F154" s="130"/>
      <c r="G154" s="130"/>
      <c r="H154" s="130"/>
      <c r="I154" s="130"/>
      <c r="J154" s="130"/>
      <c r="K154" s="130"/>
      <c r="L154" s="130"/>
      <c r="M154" s="130"/>
      <c r="N154" s="130"/>
      <c r="O154" s="130"/>
      <c r="P154" s="139">
        <v>-7.1727561574465182E-3</v>
      </c>
      <c r="Q154" s="139">
        <v>-0.14991158512408495</v>
      </c>
      <c r="R154" s="139">
        <v>-0.24705987221200157</v>
      </c>
      <c r="S154" s="130"/>
      <c r="T154" s="130"/>
      <c r="V154" s="130"/>
      <c r="W154" s="130"/>
      <c r="X154" s="130"/>
      <c r="Y154" s="130"/>
      <c r="Z154" s="130"/>
      <c r="AA154" s="130"/>
      <c r="AB154" s="130"/>
      <c r="AC154" s="130"/>
      <c r="AD154" s="130"/>
      <c r="AE154" s="130"/>
      <c r="AF154" s="130"/>
      <c r="AG154" s="130"/>
      <c r="AH154" s="130"/>
      <c r="AI154" s="130"/>
      <c r="AJ154" s="130"/>
      <c r="AK154" s="130"/>
      <c r="AL154" s="130"/>
      <c r="AM154" s="130"/>
      <c r="AN154" s="130"/>
      <c r="AO154" s="130"/>
      <c r="AP154" s="130"/>
      <c r="AQ154" s="130"/>
      <c r="AR154" s="130"/>
      <c r="AS154" s="130"/>
      <c r="AT154" s="130"/>
      <c r="AU154" s="130"/>
      <c r="AV154" s="130"/>
      <c r="AW154" s="130"/>
      <c r="AX154" s="130"/>
    </row>
    <row r="155" spans="1:50" ht="20" customHeight="1" x14ac:dyDescent="0.2">
      <c r="A155" s="198"/>
      <c r="B155" s="130"/>
      <c r="C155" s="130"/>
      <c r="D155" s="130"/>
      <c r="E155" s="130"/>
      <c r="F155" s="130"/>
      <c r="G155" s="130"/>
      <c r="H155" s="130"/>
      <c r="I155" s="130"/>
      <c r="J155" s="130"/>
      <c r="K155" s="130"/>
      <c r="L155" s="130"/>
      <c r="M155" s="130"/>
      <c r="N155" s="130"/>
      <c r="O155" s="130"/>
      <c r="P155" s="139">
        <v>0.94077140647237667</v>
      </c>
      <c r="Q155" s="139">
        <v>0.45113726188386027</v>
      </c>
      <c r="R155" s="139">
        <v>0.11716581594134613</v>
      </c>
      <c r="S155" s="130"/>
      <c r="T155" s="130"/>
      <c r="V155" s="130"/>
      <c r="W155" s="130"/>
      <c r="X155" s="130"/>
      <c r="Y155" s="130"/>
      <c r="Z155" s="130"/>
      <c r="AA155" s="130"/>
      <c r="AB155" s="130"/>
      <c r="AC155" s="130"/>
      <c r="AD155" s="130"/>
      <c r="AE155" s="130"/>
      <c r="AF155" s="130"/>
      <c r="AG155" s="130"/>
      <c r="AH155" s="130"/>
      <c r="AI155" s="130"/>
      <c r="AJ155" s="130"/>
      <c r="AK155" s="130"/>
      <c r="AL155" s="130"/>
      <c r="AM155" s="130"/>
      <c r="AN155" s="130"/>
      <c r="AO155" s="130"/>
      <c r="AP155" s="130"/>
      <c r="AQ155" s="130"/>
      <c r="AR155" s="130"/>
      <c r="AS155" s="130"/>
      <c r="AT155" s="130"/>
      <c r="AU155" s="130"/>
      <c r="AV155" s="130"/>
      <c r="AW155" s="130"/>
      <c r="AX155" s="130"/>
    </row>
    <row r="156" spans="1:50" ht="20" customHeight="1" x14ac:dyDescent="0.2">
      <c r="A156" s="198"/>
      <c r="B156" s="130"/>
      <c r="C156" s="130"/>
      <c r="D156" s="130"/>
      <c r="E156" s="130"/>
      <c r="F156" s="130"/>
      <c r="G156" s="130"/>
      <c r="H156" s="130"/>
      <c r="I156" s="130"/>
      <c r="J156" s="130"/>
      <c r="K156" s="130"/>
      <c r="L156" s="130"/>
      <c r="M156" s="130"/>
      <c r="N156" s="130"/>
      <c r="O156" s="130"/>
      <c r="P156" s="139">
        <v>-0.87749540599295872</v>
      </c>
      <c r="Q156" s="139">
        <v>-0.9607871584552643</v>
      </c>
      <c r="R156" s="139">
        <v>-0.95772971651189798</v>
      </c>
      <c r="S156" s="130"/>
      <c r="T156" s="130"/>
      <c r="V156" s="130"/>
      <c r="W156" s="130"/>
      <c r="X156" s="130"/>
      <c r="Y156" s="130"/>
      <c r="Z156" s="130"/>
      <c r="AA156" s="130"/>
      <c r="AB156" s="130"/>
      <c r="AC156" s="130"/>
      <c r="AD156" s="130"/>
      <c r="AE156" s="130"/>
      <c r="AF156" s="130"/>
      <c r="AG156" s="130"/>
      <c r="AH156" s="130"/>
      <c r="AI156" s="130"/>
      <c r="AJ156" s="130"/>
      <c r="AK156" s="130"/>
      <c r="AL156" s="130"/>
      <c r="AM156" s="130"/>
      <c r="AN156" s="130"/>
      <c r="AO156" s="130"/>
      <c r="AP156" s="130"/>
      <c r="AQ156" s="130"/>
      <c r="AR156" s="130"/>
      <c r="AS156" s="130"/>
      <c r="AT156" s="130"/>
      <c r="AU156" s="130"/>
      <c r="AV156" s="130"/>
      <c r="AW156" s="130"/>
      <c r="AX156" s="130"/>
    </row>
    <row r="157" spans="1:50" ht="20" customHeight="1" x14ac:dyDescent="0.2">
      <c r="A157" s="198"/>
      <c r="B157" s="130"/>
      <c r="C157" s="130"/>
      <c r="D157" s="130"/>
      <c r="E157" s="130"/>
      <c r="F157" s="130"/>
      <c r="G157" s="130"/>
      <c r="H157" s="130"/>
      <c r="I157" s="130"/>
      <c r="J157" s="130"/>
      <c r="K157" s="130"/>
      <c r="L157" s="130"/>
      <c r="M157" s="130"/>
      <c r="N157" s="130"/>
      <c r="O157" s="130"/>
      <c r="P157" s="140">
        <v>0.7686699910080167</v>
      </c>
      <c r="Q157" s="140">
        <v>0.92539734209955271</v>
      </c>
      <c r="R157" s="140">
        <v>0.91304297547701319</v>
      </c>
      <c r="S157" s="130"/>
      <c r="T157" s="141" t="str">
        <f>HYPERLINK("#Blueprint!torchcode", "&lt;/&gt;")</f>
        <v>&lt;/&gt;</v>
      </c>
      <c r="V157" s="141" t="str">
        <f>HYPERLINK("#Blueprint!torchcode", "&lt;/&gt;")</f>
        <v>&lt;/&gt;</v>
      </c>
      <c r="W157" s="130"/>
      <c r="X157" s="130"/>
      <c r="Y157" s="130"/>
      <c r="Z157" s="130"/>
      <c r="AA157" s="130"/>
      <c r="AB157" s="130"/>
      <c r="AC157" s="130"/>
      <c r="AD157" s="130"/>
      <c r="AE157" s="130"/>
      <c r="AF157" s="130"/>
      <c r="AG157" s="130"/>
      <c r="AH157" s="130"/>
      <c r="AI157" s="130"/>
      <c r="AJ157" s="130"/>
      <c r="AK157" s="130"/>
      <c r="AL157" s="130"/>
      <c r="AM157" s="130"/>
      <c r="AN157" s="130"/>
      <c r="AO157" s="130"/>
      <c r="AP157" s="130"/>
      <c r="AQ157" s="130"/>
      <c r="AR157" s="130"/>
      <c r="AS157" s="130"/>
      <c r="AT157" s="130"/>
      <c r="AU157" s="130"/>
      <c r="AV157" s="130"/>
      <c r="AW157" s="130"/>
      <c r="AX157" s="130"/>
    </row>
    <row r="158" spans="1:50" ht="20" customHeight="1" x14ac:dyDescent="0.2">
      <c r="A158" s="198"/>
      <c r="B158" s="130"/>
      <c r="C158" s="130"/>
      <c r="D158" s="130"/>
      <c r="E158" s="130"/>
      <c r="F158" s="130"/>
      <c r="G158" s="130"/>
      <c r="H158" s="130"/>
      <c r="I158" s="130"/>
      <c r="J158" s="130"/>
      <c r="K158" s="130"/>
      <c r="L158" s="130"/>
      <c r="M158" s="130"/>
      <c r="N158" s="130"/>
      <c r="O158" s="130"/>
      <c r="P158" s="130"/>
      <c r="Q158" s="130"/>
      <c r="R158" s="130"/>
      <c r="S158" s="130"/>
      <c r="T158" s="142" t="str">
        <f>HYPERLINK("#X", "▲")</f>
        <v>▲</v>
      </c>
      <c r="V158" s="142" t="str">
        <f>HYPERLINK("#X", "▲")</f>
        <v>▲</v>
      </c>
      <c r="W158" s="130"/>
      <c r="X158" s="130"/>
      <c r="Y158" s="130"/>
      <c r="Z158" s="130"/>
      <c r="AA158" s="130"/>
      <c r="AB158" s="130"/>
      <c r="AC158" s="130"/>
      <c r="AD158" s="130"/>
      <c r="AE158" s="130"/>
      <c r="AF158" s="130"/>
      <c r="AG158" s="130"/>
      <c r="AH158" s="130"/>
      <c r="AI158" s="130"/>
      <c r="AJ158" s="130"/>
      <c r="AK158" s="130"/>
      <c r="AL158" s="130"/>
      <c r="AM158" s="130"/>
      <c r="AN158" s="130"/>
      <c r="AO158" s="130"/>
      <c r="AP158" s="130"/>
      <c r="AQ158" s="130"/>
      <c r="AR158" s="130"/>
      <c r="AS158" s="130"/>
      <c r="AT158" s="130"/>
      <c r="AU158" s="130"/>
      <c r="AV158" s="130"/>
      <c r="AW158" s="130"/>
      <c r="AX158" s="130"/>
    </row>
    <row r="159" spans="1:50" ht="20" customHeight="1" x14ac:dyDescent="0.2">
      <c r="P159" s="143" t="s">
        <v>117</v>
      </c>
      <c r="Q159" s="143" t="s">
        <v>117</v>
      </c>
      <c r="R159" s="143" t="s">
        <v>117</v>
      </c>
      <c r="AI159" s="160" t="s">
        <v>128</v>
      </c>
      <c r="AJ159" s="160" t="s">
        <v>128</v>
      </c>
      <c r="AK159" s="160" t="s">
        <v>128</v>
      </c>
    </row>
    <row r="160" spans="1:50" ht="20" customHeight="1" x14ac:dyDescent="0.2">
      <c r="A160" s="199" t="s">
        <v>265</v>
      </c>
      <c r="B160" s="123"/>
      <c r="C160" s="123"/>
      <c r="D160" s="123"/>
      <c r="E160" s="123"/>
      <c r="F160" s="123"/>
      <c r="G160" s="123"/>
      <c r="H160" s="123"/>
      <c r="I160" s="123"/>
      <c r="J160" s="123"/>
      <c r="K160" s="123"/>
      <c r="L160" s="123"/>
      <c r="M160" s="123"/>
      <c r="N160" s="123"/>
      <c r="O160" s="123"/>
      <c r="P160" s="144" t="s">
        <v>263</v>
      </c>
      <c r="Q160" s="123"/>
      <c r="R160" s="123"/>
      <c r="S160" s="123"/>
      <c r="T160" s="123"/>
      <c r="V160" s="123"/>
      <c r="W160" s="123"/>
      <c r="X160" s="123"/>
      <c r="Y160" s="123"/>
      <c r="Z160" s="123"/>
      <c r="AA160" s="123"/>
      <c r="AB160" s="123"/>
      <c r="AC160" s="123"/>
      <c r="AD160" s="123"/>
      <c r="AE160" s="123"/>
      <c r="AF160" s="123"/>
      <c r="AG160" s="123"/>
      <c r="AH160" s="123"/>
      <c r="AI160" s="144" t="s">
        <v>211</v>
      </c>
      <c r="AJ160" s="123"/>
      <c r="AK160" s="123"/>
      <c r="AL160" s="123"/>
      <c r="AM160" s="123"/>
      <c r="AN160" s="123"/>
      <c r="AO160" s="123"/>
      <c r="AP160" s="123"/>
      <c r="AQ160" s="123"/>
      <c r="AR160" s="123"/>
      <c r="AS160" s="123"/>
      <c r="AT160" s="123"/>
      <c r="AU160" s="123"/>
      <c r="AV160" s="123"/>
      <c r="AW160" s="123"/>
      <c r="AX160" s="123"/>
    </row>
    <row r="161" spans="1:50" ht="20" customHeight="1" x14ac:dyDescent="0.2">
      <c r="A161" s="199"/>
      <c r="B161" s="123"/>
      <c r="C161" s="123"/>
      <c r="D161" s="123"/>
      <c r="E161" s="123"/>
      <c r="F161" s="123"/>
      <c r="G161" s="123"/>
      <c r="H161" s="123"/>
      <c r="I161" s="123"/>
      <c r="J161" s="123"/>
      <c r="K161" s="123"/>
      <c r="L161" s="123"/>
      <c r="M161" s="123"/>
      <c r="N161" s="123"/>
      <c r="O161" s="123"/>
      <c r="P161" s="145" t="s">
        <v>264</v>
      </c>
      <c r="Q161" s="123"/>
      <c r="R161" s="123"/>
      <c r="S161" s="123"/>
      <c r="T161" s="123"/>
      <c r="V161" s="123"/>
      <c r="W161" s="123"/>
      <c r="X161" s="123"/>
      <c r="Y161" s="123"/>
      <c r="Z161" s="123"/>
      <c r="AA161" s="123"/>
      <c r="AB161" s="123"/>
      <c r="AC161" s="123"/>
      <c r="AD161" s="123"/>
      <c r="AE161" s="123"/>
      <c r="AF161" s="123"/>
      <c r="AG161" s="161" t="s">
        <v>286</v>
      </c>
      <c r="AH161" s="123"/>
      <c r="AI161" s="145" t="s">
        <v>287</v>
      </c>
      <c r="AJ161" s="123"/>
      <c r="AK161" s="123"/>
      <c r="AL161" s="123"/>
      <c r="AM161" s="123"/>
      <c r="AN161" s="123"/>
      <c r="AO161" s="123"/>
      <c r="AP161" s="123"/>
      <c r="AQ161" s="123"/>
      <c r="AR161" s="123"/>
      <c r="AS161" s="123"/>
      <c r="AT161" s="123"/>
      <c r="AU161" s="123"/>
      <c r="AV161" s="123"/>
      <c r="AW161" s="123"/>
      <c r="AX161" s="123"/>
    </row>
    <row r="162" spans="1:50" ht="20" customHeight="1" x14ac:dyDescent="0.2">
      <c r="A162" s="199"/>
      <c r="B162" s="123"/>
      <c r="C162" s="123"/>
      <c r="D162" s="123"/>
      <c r="E162" s="123"/>
      <c r="F162" s="123"/>
      <c r="G162" s="123"/>
      <c r="H162" s="123"/>
      <c r="I162" s="123"/>
      <c r="J162" s="123"/>
      <c r="K162" s="123"/>
      <c r="L162" s="123"/>
      <c r="M162" s="123"/>
      <c r="N162" s="123"/>
      <c r="O162" s="123"/>
      <c r="P162" s="146" cm="1">
        <f t="array" ref="P162:R169">IF(Blueprint_ep1!P150:R157&gt;0, Blueprint_ep1!P150:R157, 0)</f>
        <v>0</v>
      </c>
      <c r="Q162" s="146">
        <v>0</v>
      </c>
      <c r="R162" s="146">
        <v>0</v>
      </c>
      <c r="S162" s="123"/>
      <c r="T162" s="123"/>
      <c r="V162" s="123"/>
      <c r="W162" s="123"/>
      <c r="X162" s="123"/>
      <c r="Y162" s="123"/>
      <c r="Z162" s="123"/>
      <c r="AA162" s="123"/>
      <c r="AB162" s="123"/>
      <c r="AC162" s="123"/>
      <c r="AD162" s="123"/>
      <c r="AE162" s="146" cm="1">
        <f t="array" ref="AE162:AG169">0.5*erf_8 + 0.399*_xlfn.DROP(X_8,-1)* EXP(-0.5*_xlfn.DROP(X_8,-1)^2)</f>
        <v>0.5</v>
      </c>
      <c r="AF162" s="146">
        <v>0.5</v>
      </c>
      <c r="AG162" s="146">
        <v>0.5</v>
      </c>
      <c r="AH162" s="156" t="s">
        <v>113</v>
      </c>
      <c r="AI162" s="146" cm="1">
        <f t="array" ref="AI162:AK169">G_8* MaskGELU_8</f>
        <v>7.8601613153358132E-2</v>
      </c>
      <c r="AJ162" s="146">
        <v>0.49092125883388488</v>
      </c>
      <c r="AK162" s="146">
        <v>0.51678170778925858</v>
      </c>
      <c r="AL162" s="123"/>
      <c r="AM162" s="123"/>
      <c r="AN162" s="123"/>
      <c r="AO162" s="123"/>
      <c r="AP162" s="123"/>
      <c r="AQ162" s="123"/>
      <c r="AR162" s="123"/>
      <c r="AS162" s="123"/>
      <c r="AT162" s="123"/>
      <c r="AU162" s="123"/>
      <c r="AV162" s="123"/>
      <c r="AW162" s="123"/>
      <c r="AX162" s="123"/>
    </row>
    <row r="163" spans="1:50" ht="20" customHeight="1" x14ac:dyDescent="0.2">
      <c r="A163" s="199"/>
      <c r="B163" s="123"/>
      <c r="C163" s="123"/>
      <c r="D163" s="123"/>
      <c r="E163" s="123"/>
      <c r="F163" s="123"/>
      <c r="G163" s="123"/>
      <c r="H163" s="123"/>
      <c r="I163" s="123"/>
      <c r="J163" s="123"/>
      <c r="K163" s="123"/>
      <c r="L163" s="123"/>
      <c r="M163" s="123"/>
      <c r="N163" s="123"/>
      <c r="O163" s="123"/>
      <c r="P163" s="147">
        <v>0</v>
      </c>
      <c r="Q163" s="147">
        <v>0.60195326107701963</v>
      </c>
      <c r="R163" s="147">
        <v>0.74809900318818945</v>
      </c>
      <c r="S163" s="123"/>
      <c r="T163" s="123"/>
      <c r="V163" s="123"/>
      <c r="W163" s="123"/>
      <c r="X163" s="123"/>
      <c r="Y163" s="123"/>
      <c r="Z163" s="123"/>
      <c r="AA163" s="123"/>
      <c r="AB163" s="123"/>
      <c r="AC163" s="123"/>
      <c r="AD163" s="123"/>
      <c r="AE163" s="147">
        <v>0.5</v>
      </c>
      <c r="AF163" s="147">
        <v>0.8849570336224073</v>
      </c>
      <c r="AG163" s="147">
        <v>0.96797321912860601</v>
      </c>
      <c r="AH163" s="156" t="s">
        <v>113</v>
      </c>
      <c r="AI163" s="147">
        <v>-6.3155280790785154E-3</v>
      </c>
      <c r="AJ163" s="147">
        <v>0.48016715506370505</v>
      </c>
      <c r="AK163" s="147">
        <v>0.57053231331690935</v>
      </c>
      <c r="AL163" s="123"/>
      <c r="AM163" s="123"/>
      <c r="AN163" s="123"/>
      <c r="AO163" s="123"/>
      <c r="AP163" s="123"/>
      <c r="AQ163" s="123"/>
      <c r="AR163" s="123"/>
      <c r="AS163" s="123"/>
      <c r="AT163" s="123"/>
      <c r="AU163" s="123"/>
      <c r="AV163" s="123"/>
      <c r="AW163" s="123"/>
      <c r="AX163" s="123"/>
    </row>
    <row r="164" spans="1:50" ht="20" customHeight="1" x14ac:dyDescent="0.2">
      <c r="A164" s="199"/>
      <c r="B164" s="123"/>
      <c r="C164" s="123"/>
      <c r="D164" s="123"/>
      <c r="E164" s="123"/>
      <c r="F164" s="123"/>
      <c r="G164" s="123"/>
      <c r="H164" s="123"/>
      <c r="I164" s="123"/>
      <c r="J164" s="123"/>
      <c r="K164" s="123"/>
      <c r="L164" s="123"/>
      <c r="M164" s="123"/>
      <c r="N164" s="123"/>
      <c r="O164" s="123"/>
      <c r="P164" s="147">
        <v>0</v>
      </c>
      <c r="Q164" s="147">
        <v>0.24161720558626945</v>
      </c>
      <c r="R164" s="147">
        <v>0.32193932687080157</v>
      </c>
      <c r="S164" s="123"/>
      <c r="T164" s="123"/>
      <c r="V164" s="123"/>
      <c r="W164" s="123"/>
      <c r="X164" s="123"/>
      <c r="Y164" s="123"/>
      <c r="Z164" s="123"/>
      <c r="AA164" s="123"/>
      <c r="AB164" s="123"/>
      <c r="AC164" s="123"/>
      <c r="AD164" s="123"/>
      <c r="AE164" s="147">
        <v>0.5</v>
      </c>
      <c r="AF164" s="147">
        <v>0.65227616488571194</v>
      </c>
      <c r="AG164" s="147">
        <v>0.70507647674540985</v>
      </c>
      <c r="AH164" s="156" t="s">
        <v>113</v>
      </c>
      <c r="AI164" s="147">
        <v>4.3127207284577376E-2</v>
      </c>
      <c r="AJ164" s="147">
        <v>-3.3913923922671688E-2</v>
      </c>
      <c r="AK164" s="147">
        <v>-2.5017019100186128E-3</v>
      </c>
      <c r="AL164" s="123"/>
      <c r="AM164" s="123"/>
      <c r="AN164" s="123"/>
      <c r="AO164" s="123"/>
      <c r="AP164" s="123"/>
      <c r="AQ164" s="123"/>
      <c r="AR164" s="123"/>
      <c r="AS164" s="123"/>
      <c r="AT164" s="123"/>
      <c r="AU164" s="123"/>
      <c r="AV164" s="123"/>
      <c r="AW164" s="123"/>
      <c r="AX164" s="123"/>
    </row>
    <row r="165" spans="1:50" ht="20" customHeight="1" x14ac:dyDescent="0.2">
      <c r="A165" s="199"/>
      <c r="B165" s="123"/>
      <c r="C165" s="123"/>
      <c r="D165" s="123"/>
      <c r="E165" s="123"/>
      <c r="F165" s="123"/>
      <c r="G165" s="123"/>
      <c r="H165" s="123"/>
      <c r="I165" s="123"/>
      <c r="J165" s="123"/>
      <c r="K165" s="123"/>
      <c r="L165" s="123"/>
      <c r="M165" s="123"/>
      <c r="N165" s="123"/>
      <c r="O165" s="123"/>
      <c r="P165" s="147">
        <v>0.28924885129064221</v>
      </c>
      <c r="Q165" s="147">
        <v>0.34658069070581204</v>
      </c>
      <c r="R165" s="147">
        <v>8.9753702133483576E-2</v>
      </c>
      <c r="S165" s="123"/>
      <c r="T165" s="123"/>
      <c r="V165" s="123"/>
      <c r="W165" s="123"/>
      <c r="X165" s="123"/>
      <c r="Y165" s="123"/>
      <c r="Z165" s="123"/>
      <c r="AA165" s="123"/>
      <c r="AB165" s="123"/>
      <c r="AC165" s="123"/>
      <c r="AD165" s="123"/>
      <c r="AE165" s="147">
        <v>0.68353616328598166</v>
      </c>
      <c r="AF165" s="147">
        <v>0.72132745407294385</v>
      </c>
      <c r="AG165" s="147">
        <v>0.55492279878861739</v>
      </c>
      <c r="AH165" s="156" t="s">
        <v>113</v>
      </c>
      <c r="AI165" s="147">
        <v>4.7966266576419019E-3</v>
      </c>
      <c r="AJ165" s="147">
        <v>-0.2879975069020127</v>
      </c>
      <c r="AK165" s="147">
        <v>-0.24372978992640526</v>
      </c>
      <c r="AL165" s="123"/>
      <c r="AM165" s="123"/>
      <c r="AN165" s="123"/>
      <c r="AO165" s="123"/>
      <c r="AP165" s="123"/>
      <c r="AQ165" s="123"/>
      <c r="AR165" s="123"/>
      <c r="AS165" s="123"/>
      <c r="AT165" s="123"/>
      <c r="AU165" s="123"/>
      <c r="AV165" s="123"/>
      <c r="AW165" s="123"/>
      <c r="AX165" s="123"/>
    </row>
    <row r="166" spans="1:50" ht="20" customHeight="1" x14ac:dyDescent="0.2">
      <c r="A166" s="199"/>
      <c r="B166" s="123"/>
      <c r="C166" s="123"/>
      <c r="D166" s="123"/>
      <c r="E166" s="123"/>
      <c r="F166" s="123"/>
      <c r="G166" s="123"/>
      <c r="H166" s="123"/>
      <c r="I166" s="123"/>
      <c r="J166" s="123"/>
      <c r="K166" s="123"/>
      <c r="L166" s="123"/>
      <c r="M166" s="123"/>
      <c r="N166" s="123"/>
      <c r="O166" s="123"/>
      <c r="P166" s="147">
        <v>0</v>
      </c>
      <c r="Q166" s="147">
        <v>0</v>
      </c>
      <c r="R166" s="147">
        <v>0</v>
      </c>
      <c r="S166" s="123"/>
      <c r="T166" s="123"/>
      <c r="V166" s="123"/>
      <c r="W166" s="123"/>
      <c r="X166" s="123"/>
      <c r="Y166" s="123"/>
      <c r="Z166" s="123"/>
      <c r="AA166" s="123"/>
      <c r="AB166" s="123"/>
      <c r="AC166" s="123"/>
      <c r="AD166" s="123"/>
      <c r="AE166" s="147">
        <v>0.5</v>
      </c>
      <c r="AF166" s="147">
        <v>0.5</v>
      </c>
      <c r="AG166" s="147">
        <v>0.5</v>
      </c>
      <c r="AH166" s="156" t="s">
        <v>113</v>
      </c>
      <c r="AI166" s="147">
        <v>2.4284771442080799E-2</v>
      </c>
      <c r="AJ166" s="147">
        <v>-6.6696135302592857E-3</v>
      </c>
      <c r="AK166" s="147">
        <v>-3.2315085580208014E-2</v>
      </c>
      <c r="AL166" s="123"/>
      <c r="AM166" s="123"/>
      <c r="AN166" s="123"/>
      <c r="AO166" s="123"/>
      <c r="AP166" s="123"/>
      <c r="AQ166" s="123"/>
      <c r="AR166" s="123"/>
      <c r="AS166" s="123"/>
      <c r="AT166" s="123"/>
      <c r="AU166" s="123"/>
      <c r="AV166" s="123"/>
      <c r="AW166" s="123"/>
      <c r="AX166" s="123"/>
    </row>
    <row r="167" spans="1:50" ht="20" customHeight="1" x14ac:dyDescent="0.2">
      <c r="A167" s="199"/>
      <c r="B167" s="123"/>
      <c r="C167" s="123"/>
      <c r="D167" s="123"/>
      <c r="E167" s="123"/>
      <c r="F167" s="123"/>
      <c r="G167" s="123"/>
      <c r="H167" s="123"/>
      <c r="I167" s="123"/>
      <c r="J167" s="123"/>
      <c r="K167" s="123"/>
      <c r="L167" s="123"/>
      <c r="M167" s="123"/>
      <c r="N167" s="123"/>
      <c r="O167" s="123"/>
      <c r="P167" s="147">
        <v>0.94077140647237667</v>
      </c>
      <c r="Q167" s="147">
        <v>0.45113726188386027</v>
      </c>
      <c r="R167" s="147">
        <v>0.11716581594134613</v>
      </c>
      <c r="S167" s="123"/>
      <c r="T167" s="123"/>
      <c r="V167" s="123"/>
      <c r="W167" s="123"/>
      <c r="X167" s="123"/>
      <c r="Y167" s="123"/>
      <c r="Z167" s="123"/>
      <c r="AA167" s="123"/>
      <c r="AB167" s="123"/>
      <c r="AC167" s="123"/>
      <c r="AD167" s="123"/>
      <c r="AE167" s="147">
        <v>1.0559055538046074</v>
      </c>
      <c r="AF167" s="147">
        <v>0.78990489381796158</v>
      </c>
      <c r="AG167" s="147">
        <v>0.57213807184957965</v>
      </c>
      <c r="AH167" s="156" t="s">
        <v>113</v>
      </c>
      <c r="AI167" s="147">
        <v>-8.6756292605036048E-2</v>
      </c>
      <c r="AJ167" s="147">
        <v>0.26209125623118212</v>
      </c>
      <c r="AK167" s="147">
        <v>0.15258787863730183</v>
      </c>
      <c r="AL167" s="123"/>
      <c r="AM167" s="123"/>
      <c r="AN167" s="123"/>
      <c r="AO167" s="123"/>
      <c r="AP167" s="123"/>
      <c r="AQ167" s="123"/>
      <c r="AR167" s="123"/>
      <c r="AS167" s="123"/>
      <c r="AT167" s="123"/>
      <c r="AU167" s="123"/>
      <c r="AV167" s="123"/>
      <c r="AW167" s="123"/>
      <c r="AX167" s="123"/>
    </row>
    <row r="168" spans="1:50" ht="20" customHeight="1" x14ac:dyDescent="0.2">
      <c r="A168" s="199"/>
      <c r="B168" s="123"/>
      <c r="C168" s="123"/>
      <c r="D168" s="123"/>
      <c r="E168" s="123"/>
      <c r="F168" s="123"/>
      <c r="G168" s="123"/>
      <c r="H168" s="123"/>
      <c r="I168" s="123"/>
      <c r="J168" s="123"/>
      <c r="K168" s="123"/>
      <c r="L168" s="123"/>
      <c r="M168" s="123"/>
      <c r="N168" s="123"/>
      <c r="O168" s="123"/>
      <c r="P168" s="147">
        <v>0</v>
      </c>
      <c r="Q168" s="147">
        <v>0</v>
      </c>
      <c r="R168" s="147">
        <v>0</v>
      </c>
      <c r="S168" s="123"/>
      <c r="T168" s="123"/>
      <c r="V168" s="123"/>
      <c r="W168" s="123"/>
      <c r="X168" s="123"/>
      <c r="Y168" s="123"/>
      <c r="Z168" s="123"/>
      <c r="AA168" s="123"/>
      <c r="AB168" s="123"/>
      <c r="AC168" s="123"/>
      <c r="AD168" s="123"/>
      <c r="AE168" s="147">
        <v>0.5</v>
      </c>
      <c r="AF168" s="147">
        <v>0.5</v>
      </c>
      <c r="AG168" s="147">
        <v>0.5</v>
      </c>
      <c r="AH168" s="156" t="s">
        <v>113</v>
      </c>
      <c r="AI168" s="147">
        <v>-7.2759969873444047E-2</v>
      </c>
      <c r="AJ168" s="147">
        <v>0.20592276238874516</v>
      </c>
      <c r="AK168" s="147">
        <v>0.22389847086785403</v>
      </c>
      <c r="AL168" s="123"/>
      <c r="AM168" s="123"/>
      <c r="AN168" s="123"/>
      <c r="AO168" s="123"/>
      <c r="AP168" s="123"/>
      <c r="AQ168" s="123"/>
      <c r="AR168" s="123"/>
      <c r="AS168" s="123"/>
      <c r="AT168" s="123"/>
      <c r="AU168" s="123"/>
      <c r="AV168" s="123"/>
      <c r="AW168" s="123"/>
      <c r="AX168" s="123"/>
    </row>
    <row r="169" spans="1:50" ht="20" customHeight="1" x14ac:dyDescent="0.2">
      <c r="A169" s="199"/>
      <c r="B169" s="123"/>
      <c r="C169" s="123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48">
        <v>0.7686699910080167</v>
      </c>
      <c r="Q169" s="148">
        <v>0.92539734209955271</v>
      </c>
      <c r="R169" s="148">
        <v>0.91304297547701319</v>
      </c>
      <c r="S169" s="123"/>
      <c r="T169" s="149" t="str">
        <f>HYPERLINK("#Blueprint!torchcode", "&lt;/&gt;")</f>
        <v>&lt;/&gt;</v>
      </c>
      <c r="V169" s="149" t="str">
        <f>HYPERLINK("#Blueprint!torchcode", "&lt;/&gt;")</f>
        <v>&lt;/&gt;</v>
      </c>
      <c r="W169" s="123"/>
      <c r="X169" s="123"/>
      <c r="Y169" s="123"/>
      <c r="Z169" s="123"/>
      <c r="AA169" s="123"/>
      <c r="AB169" s="123"/>
      <c r="AC169" s="123"/>
      <c r="AD169" s="123"/>
      <c r="AE169" s="148">
        <v>0.97865409500966183</v>
      </c>
      <c r="AF169" s="148">
        <v>1.0499537472590246</v>
      </c>
      <c r="AG169" s="148">
        <v>1.0450295183444651</v>
      </c>
      <c r="AH169" s="156" t="s">
        <v>113</v>
      </c>
      <c r="AI169" s="148">
        <v>2.8942100145713121E-2</v>
      </c>
      <c r="AJ169" s="148">
        <v>-0.51321376701360133</v>
      </c>
      <c r="AK169" s="148">
        <v>-0.48618145628244341</v>
      </c>
      <c r="AL169" s="123"/>
      <c r="AM169" s="123"/>
      <c r="AN169" s="123"/>
      <c r="AO169" s="123"/>
      <c r="AP169" s="123"/>
      <c r="AQ169" s="123"/>
      <c r="AR169" s="123"/>
      <c r="AS169" s="123"/>
      <c r="AT169" s="123"/>
      <c r="AU169" s="123"/>
      <c r="AV169" s="123"/>
      <c r="AW169" s="123"/>
      <c r="AX169" s="123"/>
    </row>
    <row r="170" spans="1:50" ht="20" customHeight="1" x14ac:dyDescent="0.2">
      <c r="A170" s="199"/>
      <c r="B170" s="123"/>
      <c r="C170" s="123"/>
      <c r="D170" s="123"/>
      <c r="E170" s="123"/>
      <c r="F170" s="123"/>
      <c r="G170" s="123"/>
      <c r="H170" s="123"/>
      <c r="I170" s="123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50" t="str">
        <f>HYPERLINK("#X", "▲")</f>
        <v>▲</v>
      </c>
      <c r="V170" s="150" t="str">
        <f>HYPERLINK("#X", "▲")</f>
        <v>▲</v>
      </c>
      <c r="W170" s="123"/>
      <c r="X170" s="123"/>
      <c r="Y170" s="123"/>
      <c r="Z170" s="123"/>
      <c r="AA170" s="123"/>
      <c r="AB170" s="123"/>
      <c r="AC170" s="123"/>
      <c r="AD170" s="123"/>
      <c r="AE170" s="123"/>
      <c r="AF170" s="123"/>
      <c r="AG170" s="123"/>
      <c r="AH170" s="123"/>
      <c r="AI170" s="123"/>
      <c r="AJ170" s="123"/>
      <c r="AK170" s="123"/>
      <c r="AL170" s="123"/>
      <c r="AM170" s="123"/>
      <c r="AN170" s="123"/>
      <c r="AO170" s="123"/>
      <c r="AP170" s="123"/>
      <c r="AQ170" s="123"/>
      <c r="AR170" s="123"/>
      <c r="AS170" s="123"/>
      <c r="AT170" s="123"/>
      <c r="AU170" s="123"/>
      <c r="AV170" s="123"/>
      <c r="AW170" s="123"/>
      <c r="AX170" s="123"/>
    </row>
    <row r="171" spans="1:50" ht="20" customHeight="1" x14ac:dyDescent="0.2">
      <c r="P171" s="143" t="s">
        <v>117</v>
      </c>
      <c r="Q171" s="143" t="s">
        <v>117</v>
      </c>
      <c r="R171" s="143" t="s">
        <v>117</v>
      </c>
      <c r="AI171" s="160" t="s">
        <v>128</v>
      </c>
      <c r="AJ171" s="160" t="s">
        <v>128</v>
      </c>
      <c r="AK171" s="160" t="s">
        <v>128</v>
      </c>
    </row>
    <row r="172" spans="1:50" ht="20" customHeight="1" x14ac:dyDescent="0.2">
      <c r="A172" s="198" t="s">
        <v>269</v>
      </c>
      <c r="B172" s="130"/>
      <c r="C172" s="130"/>
      <c r="D172" s="130"/>
      <c r="E172" s="130"/>
      <c r="F172" s="130"/>
      <c r="G172" s="130"/>
      <c r="H172" s="130"/>
      <c r="I172" s="130"/>
      <c r="J172" s="130"/>
      <c r="K172" s="130"/>
      <c r="L172" s="130"/>
      <c r="M172" s="130"/>
      <c r="N172" s="130"/>
      <c r="O172" s="130"/>
      <c r="P172" s="131" t="s">
        <v>266</v>
      </c>
      <c r="Q172" s="130"/>
      <c r="R172" s="130"/>
      <c r="S172" s="130"/>
      <c r="T172" s="130"/>
      <c r="V172" s="130"/>
      <c r="W172" s="130"/>
      <c r="X172" s="130"/>
      <c r="Y172" s="130"/>
      <c r="Z172" s="130"/>
      <c r="AA172" s="130"/>
      <c r="AB172" s="130"/>
      <c r="AC172" s="130"/>
      <c r="AD172" s="130"/>
      <c r="AE172" s="130"/>
      <c r="AF172" s="130"/>
      <c r="AG172" s="130"/>
      <c r="AH172" s="130"/>
      <c r="AI172" s="131" t="s">
        <v>210</v>
      </c>
      <c r="AJ172" s="130"/>
      <c r="AK172" s="130"/>
      <c r="AL172" s="130"/>
      <c r="AM172" s="130"/>
      <c r="AN172" s="130"/>
      <c r="AO172" s="130"/>
      <c r="AP172" s="130"/>
      <c r="AQ172" s="130"/>
      <c r="AR172" s="130"/>
      <c r="AS172" s="130"/>
      <c r="AT172" s="130"/>
      <c r="AU172" s="130"/>
      <c r="AV172" s="130"/>
      <c r="AW172" s="130"/>
      <c r="AX172" s="130"/>
    </row>
    <row r="173" spans="1:50" ht="20" customHeight="1" x14ac:dyDescent="0.2">
      <c r="A173" s="198"/>
      <c r="B173" s="130"/>
      <c r="C173" s="130"/>
      <c r="D173" s="130"/>
      <c r="E173" s="130"/>
      <c r="F173" s="130"/>
      <c r="G173" s="130"/>
      <c r="H173" s="130"/>
      <c r="I173" s="130"/>
      <c r="J173" s="130"/>
      <c r="K173" s="130"/>
      <c r="L173" s="130"/>
      <c r="M173" s="130"/>
      <c r="N173" s="130"/>
      <c r="O173" s="130"/>
      <c r="P173" s="133" t="s">
        <v>267</v>
      </c>
      <c r="Q173" s="130"/>
      <c r="R173" s="130"/>
      <c r="S173" s="130"/>
      <c r="T173" s="130"/>
      <c r="V173" s="130"/>
      <c r="W173" s="130"/>
      <c r="X173" s="130"/>
      <c r="Y173" s="130"/>
      <c r="Z173" s="130"/>
      <c r="AA173" s="130"/>
      <c r="AB173" s="130"/>
      <c r="AC173" s="130"/>
      <c r="AD173" s="130"/>
      <c r="AE173" s="130"/>
      <c r="AF173" s="130"/>
      <c r="AG173" s="162" t="s">
        <v>284</v>
      </c>
      <c r="AH173" s="130"/>
      <c r="AI173" s="133" t="s">
        <v>285</v>
      </c>
      <c r="AJ173" s="130"/>
      <c r="AK173" s="130"/>
      <c r="AL173" s="130"/>
      <c r="AM173" s="130"/>
      <c r="AN173" s="130"/>
      <c r="AO173" s="130"/>
      <c r="AP173" s="130"/>
      <c r="AQ173" s="130"/>
      <c r="AR173" s="130"/>
      <c r="AS173" s="130"/>
      <c r="AT173" s="130"/>
      <c r="AU173" s="130"/>
      <c r="AV173" s="130"/>
      <c r="AW173" s="130"/>
      <c r="AX173" s="130"/>
    </row>
    <row r="174" spans="1:50" ht="20" customHeight="1" x14ac:dyDescent="0.2">
      <c r="A174" s="198"/>
      <c r="B174" s="130"/>
      <c r="C174" s="130"/>
      <c r="D174" s="130"/>
      <c r="E174" s="130"/>
      <c r="F174" s="130"/>
      <c r="G174" s="130"/>
      <c r="H174" s="130"/>
      <c r="I174" s="130"/>
      <c r="J174" s="130"/>
      <c r="K174" s="130"/>
      <c r="L174" s="130"/>
      <c r="M174" s="130"/>
      <c r="N174" s="130"/>
      <c r="O174" s="130"/>
      <c r="P174" s="138" cm="1">
        <f t="array" ref="P174:R181">1+ERF(Blueprint_ep1!P162:R169/SQRT(2))</f>
        <v>1</v>
      </c>
      <c r="Q174" s="138">
        <v>1</v>
      </c>
      <c r="R174" s="138">
        <v>1</v>
      </c>
      <c r="S174" s="130"/>
      <c r="T174" s="130"/>
      <c r="V174" s="130"/>
      <c r="W174" s="130"/>
      <c r="X174" s="134" cm="1">
        <f t="array" ref="X174:AG182">TRANSPOSE(W_9)</f>
        <v>-0.49535214618602286</v>
      </c>
      <c r="Y174" s="135">
        <v>0.98889259591282941</v>
      </c>
      <c r="Z174" s="135">
        <v>0.84904818754825395</v>
      </c>
      <c r="AA174" s="135">
        <v>0.65862647746023617</v>
      </c>
      <c r="AB174" s="135">
        <v>0.17126056155707817</v>
      </c>
      <c r="AC174" s="135">
        <v>-0.74594151801160513</v>
      </c>
      <c r="AD174" s="135">
        <v>-0.33210024419257755</v>
      </c>
      <c r="AE174" s="135">
        <v>0.9598722420458452</v>
      </c>
      <c r="AF174" s="135">
        <v>-0.76477361951746825</v>
      </c>
      <c r="AG174" s="136">
        <v>0.63348588731833655</v>
      </c>
      <c r="AH174" s="137" t="s">
        <v>113</v>
      </c>
      <c r="AI174" s="138" cm="1">
        <f t="array" ref="AI174:AK181">_xlfn.DROP(MMULT(W_9T, G_9), -1)</f>
        <v>0.15720322630671626</v>
      </c>
      <c r="AJ174" s="138">
        <v>0.98184251766776975</v>
      </c>
      <c r="AK174" s="138">
        <v>1.0335634155785172</v>
      </c>
      <c r="AL174" s="130"/>
      <c r="AM174" s="130"/>
      <c r="AN174" s="130"/>
      <c r="AO174" s="130"/>
      <c r="AP174" s="130"/>
      <c r="AQ174" s="130"/>
      <c r="AR174" s="130"/>
      <c r="AS174" s="130"/>
      <c r="AT174" s="130"/>
      <c r="AU174" s="130"/>
      <c r="AV174" s="130"/>
      <c r="AW174" s="130"/>
      <c r="AX174" s="130"/>
    </row>
    <row r="175" spans="1:50" ht="20" customHeight="1" x14ac:dyDescent="0.2">
      <c r="A175" s="198"/>
      <c r="B175" s="130"/>
      <c r="C175" s="130"/>
      <c r="D175" s="130"/>
      <c r="E175" s="130"/>
      <c r="F175" s="130"/>
      <c r="G175" s="130"/>
      <c r="H175" s="130"/>
      <c r="I175" s="130"/>
      <c r="J175" s="130"/>
      <c r="K175" s="130"/>
      <c r="L175" s="130"/>
      <c r="M175" s="130"/>
      <c r="N175" s="130"/>
      <c r="O175" s="130"/>
      <c r="P175" s="139">
        <v>1</v>
      </c>
      <c r="Q175" s="139">
        <v>1.452794750467336</v>
      </c>
      <c r="R175" s="139">
        <v>1.5455995567663423</v>
      </c>
      <c r="S175" s="130"/>
      <c r="T175" s="130"/>
      <c r="V175" s="130"/>
      <c r="W175" s="130"/>
      <c r="X175" s="134">
        <v>-0.82580347674683707</v>
      </c>
      <c r="Y175" s="135">
        <v>0.68254692683433116</v>
      </c>
      <c r="Z175" s="135">
        <v>0.772385530663665</v>
      </c>
      <c r="AA175" s="135">
        <v>-7.1583341751069868E-2</v>
      </c>
      <c r="AB175" s="135">
        <v>0.3891362231257291</v>
      </c>
      <c r="AC175" s="135">
        <v>0.53677525476577248</v>
      </c>
      <c r="AD175" s="135">
        <v>0.76258451539347538</v>
      </c>
      <c r="AE175" s="135">
        <v>-0.79572972882531412</v>
      </c>
      <c r="AF175" s="135">
        <v>-0.41026677006889656</v>
      </c>
      <c r="AG175" s="136">
        <v>0.35378733798346218</v>
      </c>
      <c r="AH175" s="137" t="s">
        <v>113</v>
      </c>
      <c r="AI175" s="139">
        <v>-1.2631056158157031E-2</v>
      </c>
      <c r="AJ175" s="139">
        <v>0.54258809955804288</v>
      </c>
      <c r="AK175" s="139">
        <v>0.58940919236434763</v>
      </c>
      <c r="AL175" s="130"/>
      <c r="AM175" s="130"/>
      <c r="AN175" s="130"/>
      <c r="AO175" s="130"/>
      <c r="AP175" s="130"/>
      <c r="AQ175" s="130"/>
      <c r="AR175" s="130"/>
      <c r="AS175" s="130"/>
      <c r="AT175" s="130"/>
      <c r="AU175" s="130"/>
      <c r="AV175" s="130"/>
      <c r="AW175" s="130"/>
      <c r="AX175" s="130"/>
    </row>
    <row r="176" spans="1:50" ht="20" customHeight="1" x14ac:dyDescent="0.2">
      <c r="A176" s="198"/>
      <c r="B176" s="130"/>
      <c r="C176" s="130"/>
      <c r="D176" s="130"/>
      <c r="E176" s="130"/>
      <c r="F176" s="130"/>
      <c r="G176" s="130"/>
      <c r="H176" s="130"/>
      <c r="I176" s="130"/>
      <c r="J176" s="130"/>
      <c r="K176" s="130"/>
      <c r="L176" s="130"/>
      <c r="M176" s="130"/>
      <c r="N176" s="130"/>
      <c r="O176" s="130"/>
      <c r="P176" s="139">
        <v>1</v>
      </c>
      <c r="Q176" s="139">
        <v>1.1909232110902532</v>
      </c>
      <c r="R176" s="139">
        <v>1.2525013406188903</v>
      </c>
      <c r="S176" s="130"/>
      <c r="T176" s="130"/>
      <c r="V176" s="130"/>
      <c r="W176" s="130"/>
      <c r="X176" s="134">
        <v>0.15402299511058037</v>
      </c>
      <c r="Y176" s="135">
        <v>-6.9450615856867116E-3</v>
      </c>
      <c r="Z176" s="135">
        <v>9.9181457224320771E-2</v>
      </c>
      <c r="AA176" s="135">
        <v>-0.87985758306811945</v>
      </c>
      <c r="AB176" s="135">
        <v>0.42174974883754923</v>
      </c>
      <c r="AC176" s="135">
        <v>0.18712271186891608</v>
      </c>
      <c r="AD176" s="135">
        <v>0.91089507065789033</v>
      </c>
      <c r="AE176" s="135">
        <v>0.84266075358446269</v>
      </c>
      <c r="AF176" s="135">
        <v>0.23737029353551092</v>
      </c>
      <c r="AG176" s="136">
        <v>0.66770001878984486</v>
      </c>
      <c r="AH176" s="137" t="s">
        <v>113</v>
      </c>
      <c r="AI176" s="139">
        <v>8.6254414569154753E-2</v>
      </c>
      <c r="AJ176" s="139">
        <v>-5.1993198200970425E-2</v>
      </c>
      <c r="AK176" s="139">
        <v>-3.5481284548965764E-3</v>
      </c>
      <c r="AL176" s="130"/>
      <c r="AM176" s="130"/>
      <c r="AN176" s="130"/>
      <c r="AO176" s="130"/>
      <c r="AP176" s="130"/>
      <c r="AQ176" s="130"/>
      <c r="AR176" s="130"/>
      <c r="AS176" s="130"/>
      <c r="AT176" s="130"/>
      <c r="AU176" s="130"/>
      <c r="AV176" s="130"/>
      <c r="AW176" s="130"/>
      <c r="AX176" s="130"/>
    </row>
    <row r="177" spans="1:50" ht="20" customHeight="1" x14ac:dyDescent="0.2">
      <c r="A177" s="198"/>
      <c r="B177" s="130"/>
      <c r="C177" s="130"/>
      <c r="D177" s="130"/>
      <c r="E177" s="130"/>
      <c r="F177" s="130"/>
      <c r="G177" s="130"/>
      <c r="H177" s="130"/>
      <c r="I177" s="130"/>
      <c r="J177" s="130"/>
      <c r="K177" s="130"/>
      <c r="L177" s="130"/>
      <c r="M177" s="130"/>
      <c r="N177" s="130"/>
      <c r="O177" s="130"/>
      <c r="P177" s="139">
        <v>1.2276090492061553</v>
      </c>
      <c r="Q177" s="139">
        <v>1.2710936456158375</v>
      </c>
      <c r="R177" s="139">
        <v>1.0715170600233879</v>
      </c>
      <c r="S177" s="130"/>
      <c r="T177" s="130"/>
      <c r="V177" s="130"/>
      <c r="W177" s="130"/>
      <c r="X177" s="134">
        <v>-0.55500861783240585</v>
      </c>
      <c r="Y177" s="135">
        <v>0.28269918462871152</v>
      </c>
      <c r="Z177" s="135">
        <v>-0.63918886957080312</v>
      </c>
      <c r="AA177" s="135">
        <v>-0.95560136345197677</v>
      </c>
      <c r="AB177" s="135">
        <v>0.43705591496456025</v>
      </c>
      <c r="AC177" s="135">
        <v>0.60940388743935825</v>
      </c>
      <c r="AD177" s="135">
        <v>-0.61473573421038885</v>
      </c>
      <c r="AE177" s="135">
        <v>0.61127926009559452</v>
      </c>
      <c r="AF177" s="135">
        <v>0.39852728205949534</v>
      </c>
      <c r="AG177" s="136">
        <v>-0.19822773141190231</v>
      </c>
      <c r="AH177" s="137" t="s">
        <v>113</v>
      </c>
      <c r="AI177" s="139">
        <v>7.0173707190310901E-3</v>
      </c>
      <c r="AJ177" s="139">
        <v>-0.39926042642054921</v>
      </c>
      <c r="AK177" s="139">
        <v>-0.43921386985443978</v>
      </c>
      <c r="AL177" s="130"/>
      <c r="AM177" s="130"/>
      <c r="AN177" s="130"/>
      <c r="AO177" s="130"/>
      <c r="AP177" s="130"/>
      <c r="AQ177" s="130"/>
      <c r="AR177" s="130"/>
      <c r="AS177" s="130"/>
      <c r="AT177" s="130"/>
      <c r="AU177" s="130"/>
      <c r="AV177" s="130"/>
      <c r="AW177" s="130"/>
      <c r="AX177" s="130"/>
    </row>
    <row r="178" spans="1:50" ht="20" customHeight="1" x14ac:dyDescent="0.2">
      <c r="A178" s="198"/>
      <c r="B178" s="130"/>
      <c r="C178" s="130"/>
      <c r="D178" s="130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9">
        <v>1</v>
      </c>
      <c r="Q178" s="139">
        <v>1</v>
      </c>
      <c r="R178" s="139">
        <v>1</v>
      </c>
      <c r="S178" s="130"/>
      <c r="T178" s="130"/>
      <c r="V178" s="130"/>
      <c r="W178" s="130"/>
      <c r="X178" s="134">
        <v>-0.24867960577830672</v>
      </c>
      <c r="Y178" s="135">
        <v>0.72291237488389015</v>
      </c>
      <c r="Z178" s="135">
        <v>0.10017094714567065</v>
      </c>
      <c r="AA178" s="135">
        <v>7.4577544815838337E-2</v>
      </c>
      <c r="AB178" s="135">
        <v>0.98057489516213536</v>
      </c>
      <c r="AC178" s="135">
        <v>-0.2211772371083498</v>
      </c>
      <c r="AD178" s="135">
        <v>0.7426020591519773</v>
      </c>
      <c r="AE178" s="135">
        <v>-0.13408753369003534</v>
      </c>
      <c r="AF178" s="135">
        <v>-1.8640184309333563E-2</v>
      </c>
      <c r="AG178" s="136">
        <v>-0.69368571788072586</v>
      </c>
      <c r="AH178" s="137" t="s">
        <v>113</v>
      </c>
      <c r="AI178" s="139">
        <v>4.8569542884161598E-2</v>
      </c>
      <c r="AJ178" s="139">
        <v>-1.3339227060518571E-2</v>
      </c>
      <c r="AK178" s="139">
        <v>-6.4630171160416028E-2</v>
      </c>
      <c r="AL178" s="130"/>
      <c r="AM178" s="130"/>
      <c r="AN178" s="130"/>
      <c r="AO178" s="130"/>
      <c r="AP178" s="130"/>
      <c r="AQ178" s="130"/>
      <c r="AR178" s="130"/>
      <c r="AS178" s="130"/>
      <c r="AT178" s="130"/>
      <c r="AU178" s="130"/>
      <c r="AV178" s="130"/>
      <c r="AW178" s="130"/>
      <c r="AX178" s="130"/>
    </row>
    <row r="179" spans="1:50" ht="20" customHeight="1" x14ac:dyDescent="0.2">
      <c r="A179" s="198"/>
      <c r="B179" s="130"/>
      <c r="C179" s="130"/>
      <c r="D179" s="130"/>
      <c r="E179" s="130"/>
      <c r="F179" s="130"/>
      <c r="G179" s="130"/>
      <c r="H179" s="130"/>
      <c r="I179" s="130"/>
      <c r="J179" s="130"/>
      <c r="K179" s="130"/>
      <c r="L179" s="130"/>
      <c r="M179" s="130"/>
      <c r="N179" s="130"/>
      <c r="O179" s="130"/>
      <c r="P179" s="139">
        <v>1.6531779830904199</v>
      </c>
      <c r="Q179" s="139">
        <v>1.3481093765965122</v>
      </c>
      <c r="R179" s="139">
        <v>1.0932713447734854</v>
      </c>
      <c r="S179" s="130"/>
      <c r="T179" s="130"/>
      <c r="V179" s="130"/>
      <c r="W179" s="130"/>
      <c r="X179" s="134">
        <v>-0.95089585939206756</v>
      </c>
      <c r="Y179" s="135">
        <v>0.17089960541344806</v>
      </c>
      <c r="Z179" s="135">
        <v>-0.48549924394069383</v>
      </c>
      <c r="AA179" s="135">
        <v>0.65040120615245645</v>
      </c>
      <c r="AB179" s="135">
        <v>-0.10353213766916088</v>
      </c>
      <c r="AC179" s="135">
        <v>-0.56556444592102872</v>
      </c>
      <c r="AD179" s="135">
        <v>0.16251746411980886</v>
      </c>
      <c r="AE179" s="135">
        <v>0.41633422922312685</v>
      </c>
      <c r="AF179" s="135">
        <v>-0.54711442324733062</v>
      </c>
      <c r="AG179" s="136">
        <v>-0.77139725567264994</v>
      </c>
      <c r="AH179" s="137" t="s">
        <v>113</v>
      </c>
      <c r="AI179" s="139">
        <v>-8.2162928580532951E-2</v>
      </c>
      <c r="AJ179" s="139">
        <v>0.33180102855722104</v>
      </c>
      <c r="AK179" s="139">
        <v>0.26669764895040682</v>
      </c>
      <c r="AL179" s="130"/>
      <c r="AM179" s="130"/>
      <c r="AN179" s="130"/>
      <c r="AO179" s="130"/>
      <c r="AP179" s="130"/>
      <c r="AQ179" s="130"/>
      <c r="AR179" s="130"/>
      <c r="AS179" s="130"/>
      <c r="AT179" s="130"/>
      <c r="AU179" s="130"/>
      <c r="AV179" s="130"/>
      <c r="AW179" s="130"/>
      <c r="AX179" s="130"/>
    </row>
    <row r="180" spans="1:50" ht="20" customHeight="1" x14ac:dyDescent="0.2">
      <c r="A180" s="198"/>
      <c r="B180" s="130"/>
      <c r="C180" s="130"/>
      <c r="D180" s="130"/>
      <c r="E180" s="130"/>
      <c r="F180" s="130"/>
      <c r="G180" s="130"/>
      <c r="H180" s="130"/>
      <c r="I180" s="130"/>
      <c r="J180" s="130"/>
      <c r="K180" s="130"/>
      <c r="L180" s="130"/>
      <c r="M180" s="130"/>
      <c r="N180" s="130"/>
      <c r="O180" s="130"/>
      <c r="P180" s="139">
        <v>1</v>
      </c>
      <c r="Q180" s="139">
        <v>1</v>
      </c>
      <c r="R180" s="139">
        <v>1</v>
      </c>
      <c r="S180" s="130"/>
      <c r="T180" s="130"/>
      <c r="V180" s="130"/>
      <c r="W180" s="130"/>
      <c r="X180" s="134">
        <v>-0.10543742822483182</v>
      </c>
      <c r="Y180" s="135">
        <v>-0.81849968712776899</v>
      </c>
      <c r="Z180" s="135">
        <v>0.88624332519248128</v>
      </c>
      <c r="AA180" s="135">
        <v>0.69066423736512661</v>
      </c>
      <c r="AB180" s="135">
        <v>-0.80414718249812722</v>
      </c>
      <c r="AC180" s="135">
        <v>-0.45588106755167246</v>
      </c>
      <c r="AD180" s="135">
        <v>-0.32663783570751548</v>
      </c>
      <c r="AE180" s="135">
        <v>-0.38667081296443939</v>
      </c>
      <c r="AF180" s="135">
        <v>-0.54539888771250844</v>
      </c>
      <c r="AG180" s="136">
        <v>7.9626218415796757E-2</v>
      </c>
      <c r="AH180" s="137" t="s">
        <v>113</v>
      </c>
      <c r="AI180" s="139">
        <v>-0.14551993974688809</v>
      </c>
      <c r="AJ180" s="139">
        <v>0.41184552477749031</v>
      </c>
      <c r="AK180" s="139">
        <v>0.44779694173570805</v>
      </c>
      <c r="AL180" s="130"/>
      <c r="AM180" s="130"/>
      <c r="AN180" s="130"/>
      <c r="AO180" s="130"/>
      <c r="AP180" s="130"/>
      <c r="AQ180" s="130"/>
      <c r="AR180" s="130"/>
      <c r="AS180" s="130"/>
      <c r="AT180" s="130"/>
      <c r="AU180" s="130"/>
      <c r="AV180" s="130"/>
      <c r="AW180" s="130"/>
      <c r="AX180" s="130"/>
    </row>
    <row r="181" spans="1:50" ht="20" customHeight="1" x14ac:dyDescent="0.2">
      <c r="A181" s="198"/>
      <c r="B181" s="130"/>
      <c r="C181" s="130"/>
      <c r="D181" s="130"/>
      <c r="E181" s="130"/>
      <c r="F181" s="130"/>
      <c r="G181" s="130"/>
      <c r="H181" s="130"/>
      <c r="I181" s="130"/>
      <c r="J181" s="130"/>
      <c r="K181" s="130"/>
      <c r="L181" s="130"/>
      <c r="M181" s="130"/>
      <c r="N181" s="130"/>
      <c r="O181" s="130"/>
      <c r="P181" s="140">
        <v>1.5579107560440628</v>
      </c>
      <c r="Q181" s="140">
        <v>1.6452407391306834</v>
      </c>
      <c r="R181" s="140">
        <v>1.6387800603642499</v>
      </c>
      <c r="S181" s="130"/>
      <c r="T181" s="130"/>
      <c r="V181" s="130"/>
      <c r="W181" s="130"/>
      <c r="X181" s="134">
        <v>-0.76593484583821791</v>
      </c>
      <c r="Y181" s="135">
        <v>-0.75063497865965279</v>
      </c>
      <c r="Z181" s="135">
        <v>0.63585769698225547</v>
      </c>
      <c r="AA181" s="135">
        <v>0.3523765502174796</v>
      </c>
      <c r="AB181" s="135">
        <v>-0.62139417824009291</v>
      </c>
      <c r="AC181" s="135">
        <v>-0.96089043160437138</v>
      </c>
      <c r="AD181" s="135">
        <v>-0.37502927897395755</v>
      </c>
      <c r="AE181" s="135">
        <v>-0.76619005640728599</v>
      </c>
      <c r="AF181" s="135">
        <v>0.48946062435880272</v>
      </c>
      <c r="AG181" s="136">
        <v>0.25768147642798406</v>
      </c>
      <c r="AH181" s="137" t="s">
        <v>113</v>
      </c>
      <c r="AI181" s="140">
        <v>2.9573370502707995E-2</v>
      </c>
      <c r="AJ181" s="140">
        <v>-0.48879654780353954</v>
      </c>
      <c r="AK181" s="140">
        <v>-0.46523227119235033</v>
      </c>
      <c r="AL181" s="130"/>
      <c r="AM181" s="130"/>
      <c r="AN181" s="130"/>
      <c r="AO181" s="130"/>
      <c r="AP181" s="130"/>
      <c r="AQ181" s="130"/>
      <c r="AR181" s="130"/>
      <c r="AS181" s="130"/>
      <c r="AT181" s="130"/>
      <c r="AU181" s="130"/>
      <c r="AV181" s="130"/>
      <c r="AW181" s="130"/>
      <c r="AX181" s="130"/>
    </row>
    <row r="182" spans="1:50" ht="20" customHeight="1" x14ac:dyDescent="0.2">
      <c r="A182" s="198"/>
      <c r="B182" s="130"/>
      <c r="C182" s="130"/>
      <c r="D182" s="130"/>
      <c r="E182" s="130"/>
      <c r="F182" s="130"/>
      <c r="G182" s="130"/>
      <c r="H182" s="130"/>
      <c r="I182" s="130"/>
      <c r="J182" s="130"/>
      <c r="K182" s="130"/>
      <c r="L182" s="130"/>
      <c r="M182" s="130"/>
      <c r="N182" s="130"/>
      <c r="O182" s="130"/>
      <c r="P182" s="133" t="s">
        <v>268</v>
      </c>
      <c r="Q182" s="130"/>
      <c r="R182" s="130"/>
      <c r="S182" s="130"/>
      <c r="T182" s="130"/>
      <c r="V182" s="130"/>
      <c r="W182" s="130"/>
      <c r="X182" s="134">
        <v>0.74290846979672576</v>
      </c>
      <c r="Y182" s="135">
        <v>0.85041455217479234</v>
      </c>
      <c r="Z182" s="135">
        <v>-0.7002526575453768</v>
      </c>
      <c r="AA182" s="135">
        <v>-0.25479037108320324</v>
      </c>
      <c r="AB182" s="135">
        <v>-0.11251689182914518</v>
      </c>
      <c r="AC182" s="135">
        <v>-0.44154759296603202</v>
      </c>
      <c r="AD182" s="135">
        <v>-0.74699589785084608</v>
      </c>
      <c r="AE182" s="135">
        <v>1.2442037477504515E-2</v>
      </c>
      <c r="AF182" s="135">
        <v>0.90851030817575262</v>
      </c>
      <c r="AG182" s="136">
        <v>0.90556040603186894</v>
      </c>
      <c r="AH182" s="130"/>
      <c r="AI182" s="130"/>
      <c r="AJ182" s="130"/>
      <c r="AK182" s="130"/>
      <c r="AL182" s="130"/>
      <c r="AM182" s="130"/>
      <c r="AN182" s="130"/>
      <c r="AO182" s="130"/>
      <c r="AP182" s="130"/>
      <c r="AQ182" s="130"/>
      <c r="AR182" s="130"/>
      <c r="AS182" s="130"/>
      <c r="AT182" s="130"/>
      <c r="AU182" s="130"/>
      <c r="AV182" s="130"/>
      <c r="AW182" s="130"/>
      <c r="AX182" s="130"/>
    </row>
    <row r="183" spans="1:50" ht="20" customHeight="1" x14ac:dyDescent="0.2">
      <c r="A183" s="198"/>
      <c r="B183" s="130"/>
      <c r="C183" s="130"/>
      <c r="D183" s="130"/>
      <c r="E183" s="130"/>
      <c r="F183" s="130"/>
      <c r="G183" s="130"/>
      <c r="H183" s="130"/>
      <c r="I183" s="130"/>
      <c r="J183" s="130"/>
      <c r="K183" s="130"/>
      <c r="L183" s="130"/>
      <c r="M183" s="130"/>
      <c r="N183" s="130"/>
      <c r="O183" s="130"/>
      <c r="P183" s="138" cm="1">
        <f t="array" ref="P183:R191">_xlfn.VSTACK(0.5*Blueprint_ep1!P162:R169*Blueprint_ep1!P174:R181, _xlfn.SEQUENCE(1,3)*0+1)</f>
        <v>0</v>
      </c>
      <c r="Q183" s="138">
        <v>0</v>
      </c>
      <c r="R183" s="138">
        <v>0</v>
      </c>
      <c r="S183" s="130"/>
      <c r="T183" s="130"/>
      <c r="V183" s="130"/>
      <c r="W183" s="130"/>
      <c r="X183" s="130"/>
      <c r="Y183" s="130"/>
      <c r="Z183" s="130"/>
      <c r="AA183" s="130"/>
      <c r="AB183" s="130"/>
      <c r="AC183" s="130"/>
      <c r="AD183" s="130"/>
      <c r="AE183" s="130"/>
      <c r="AF183" s="130"/>
      <c r="AG183" s="130"/>
      <c r="AH183" s="130"/>
      <c r="AI183" s="130"/>
      <c r="AJ183" s="130"/>
      <c r="AK183" s="130"/>
      <c r="AL183" s="130"/>
      <c r="AM183" s="130"/>
      <c r="AN183" s="130"/>
      <c r="AO183" s="130"/>
      <c r="AP183" s="130"/>
      <c r="AQ183" s="130"/>
      <c r="AR183" s="130"/>
      <c r="AS183" s="130"/>
      <c r="AT183" s="130"/>
      <c r="AU183" s="130"/>
      <c r="AV183" s="130"/>
      <c r="AW183" s="130"/>
      <c r="AX183" s="130"/>
    </row>
    <row r="184" spans="1:50" ht="20" customHeight="1" x14ac:dyDescent="0.2">
      <c r="A184" s="198"/>
      <c r="B184" s="130"/>
      <c r="C184" s="130"/>
      <c r="D184" s="130"/>
      <c r="E184" s="130"/>
      <c r="F184" s="130"/>
      <c r="G184" s="130"/>
      <c r="H184" s="130"/>
      <c r="I184" s="130"/>
      <c r="J184" s="130"/>
      <c r="K184" s="130"/>
      <c r="L184" s="130"/>
      <c r="M184" s="130"/>
      <c r="N184" s="130"/>
      <c r="O184" s="130"/>
      <c r="P184" s="139">
        <v>0</v>
      </c>
      <c r="Q184" s="139">
        <v>0.43725726885969396</v>
      </c>
      <c r="R184" s="139">
        <v>0.57813074387250407</v>
      </c>
      <c r="S184" s="130"/>
      <c r="T184" s="130"/>
      <c r="V184" s="130"/>
      <c r="W184" s="130"/>
      <c r="X184" s="130"/>
      <c r="Y184" s="130"/>
      <c r="Z184" s="130"/>
      <c r="AA184" s="130"/>
      <c r="AB184" s="130"/>
      <c r="AC184" s="130"/>
      <c r="AD184" s="130"/>
      <c r="AE184" s="130"/>
      <c r="AF184" s="130"/>
      <c r="AG184" s="130"/>
      <c r="AH184" s="130"/>
      <c r="AI184" s="130"/>
      <c r="AJ184" s="130"/>
      <c r="AK184" s="130"/>
      <c r="AL184" s="130"/>
      <c r="AM184" s="130"/>
      <c r="AN184" s="130"/>
      <c r="AO184" s="130"/>
      <c r="AP184" s="130"/>
      <c r="AQ184" s="130"/>
      <c r="AR184" s="130"/>
      <c r="AS184" s="130"/>
      <c r="AT184" s="130"/>
      <c r="AU184" s="130"/>
      <c r="AV184" s="130"/>
      <c r="AW184" s="130"/>
      <c r="AX184" s="130"/>
    </row>
    <row r="185" spans="1:50" ht="20" customHeight="1" x14ac:dyDescent="0.2">
      <c r="A185" s="198"/>
      <c r="B185" s="130"/>
      <c r="C185" s="130"/>
      <c r="D185" s="130"/>
      <c r="E185" s="130"/>
      <c r="F185" s="130"/>
      <c r="G185" s="130"/>
      <c r="H185" s="130"/>
      <c r="I185" s="130"/>
      <c r="J185" s="130"/>
      <c r="K185" s="130"/>
      <c r="L185" s="130"/>
      <c r="M185" s="130"/>
      <c r="N185" s="130"/>
      <c r="O185" s="130"/>
      <c r="P185" s="139">
        <v>0</v>
      </c>
      <c r="Q185" s="139">
        <v>0.14387376916572694</v>
      </c>
      <c r="R185" s="139">
        <v>0.20161471925181104</v>
      </c>
      <c r="S185" s="130"/>
      <c r="T185" s="130"/>
      <c r="V185" s="130"/>
      <c r="W185" s="130"/>
      <c r="X185" s="130"/>
      <c r="Y185" s="130"/>
      <c r="Z185" s="130"/>
      <c r="AA185" s="130"/>
      <c r="AB185" s="130"/>
      <c r="AC185" s="130"/>
      <c r="AD185" s="130"/>
      <c r="AE185" s="130"/>
      <c r="AF185" s="130"/>
      <c r="AG185" s="130"/>
      <c r="AH185" s="130"/>
      <c r="AI185" s="130"/>
      <c r="AJ185" s="130"/>
      <c r="AK185" s="130"/>
      <c r="AL185" s="130"/>
      <c r="AM185" s="130"/>
      <c r="AN185" s="130"/>
      <c r="AO185" s="130"/>
      <c r="AP185" s="130"/>
      <c r="AQ185" s="130"/>
      <c r="AR185" s="130"/>
      <c r="AS185" s="130"/>
      <c r="AT185" s="130"/>
      <c r="AU185" s="130"/>
      <c r="AV185" s="130"/>
      <c r="AW185" s="130"/>
      <c r="AX185" s="130"/>
    </row>
    <row r="186" spans="1:50" ht="20" customHeight="1" x14ac:dyDescent="0.2">
      <c r="A186" s="198"/>
      <c r="B186" s="130"/>
      <c r="C186" s="130"/>
      <c r="D186" s="130"/>
      <c r="E186" s="130"/>
      <c r="F186" s="130"/>
      <c r="G186" s="130"/>
      <c r="H186" s="130"/>
      <c r="I186" s="130"/>
      <c r="J186" s="130"/>
      <c r="K186" s="130"/>
      <c r="L186" s="130"/>
      <c r="M186" s="130"/>
      <c r="N186" s="130"/>
      <c r="O186" s="130"/>
      <c r="P186" s="139">
        <v>0.17754225365843895</v>
      </c>
      <c r="Q186" s="139">
        <v>0.22026825682465281</v>
      </c>
      <c r="R186" s="139">
        <v>4.8086311518142598E-2</v>
      </c>
      <c r="S186" s="130"/>
      <c r="T186" s="130"/>
      <c r="V186" s="130"/>
      <c r="W186" s="130"/>
      <c r="X186" s="130"/>
      <c r="Y186" s="130"/>
      <c r="Z186" s="130"/>
      <c r="AA186" s="130"/>
      <c r="AB186" s="130"/>
      <c r="AC186" s="130"/>
      <c r="AD186" s="130"/>
      <c r="AE186" s="130"/>
      <c r="AF186" s="130"/>
      <c r="AG186" s="130"/>
      <c r="AH186" s="130"/>
      <c r="AI186" s="130"/>
      <c r="AJ186" s="130"/>
      <c r="AK186" s="130"/>
      <c r="AL186" s="130"/>
      <c r="AM186" s="130"/>
      <c r="AN186" s="130"/>
      <c r="AO186" s="130"/>
      <c r="AP186" s="130"/>
      <c r="AQ186" s="130"/>
      <c r="AR186" s="130"/>
      <c r="AS186" s="130"/>
      <c r="AT186" s="130"/>
      <c r="AU186" s="130"/>
      <c r="AV186" s="130"/>
      <c r="AW186" s="130"/>
      <c r="AX186" s="130"/>
    </row>
    <row r="187" spans="1:50" ht="20" customHeight="1" x14ac:dyDescent="0.2">
      <c r="A187" s="198"/>
      <c r="B187" s="130"/>
      <c r="C187" s="130"/>
      <c r="D187" s="130"/>
      <c r="E187" s="130"/>
      <c r="F187" s="130"/>
      <c r="G187" s="130"/>
      <c r="H187" s="130"/>
      <c r="I187" s="130"/>
      <c r="J187" s="130"/>
      <c r="K187" s="130"/>
      <c r="L187" s="130"/>
      <c r="M187" s="130"/>
      <c r="N187" s="130"/>
      <c r="O187" s="130"/>
      <c r="P187" s="139">
        <v>0</v>
      </c>
      <c r="Q187" s="139">
        <v>0</v>
      </c>
      <c r="R187" s="139">
        <v>0</v>
      </c>
      <c r="S187" s="130"/>
      <c r="T187" s="130"/>
      <c r="V187" s="130"/>
      <c r="W187" s="130"/>
      <c r="X187" s="130"/>
      <c r="Y187" s="130"/>
      <c r="Z187" s="130"/>
      <c r="AA187" s="130"/>
      <c r="AB187" s="130"/>
      <c r="AC187" s="130"/>
      <c r="AD187" s="130"/>
      <c r="AE187" s="130"/>
      <c r="AF187" s="130"/>
      <c r="AG187" s="130"/>
      <c r="AH187" s="130"/>
      <c r="AI187" s="130"/>
      <c r="AJ187" s="130"/>
      <c r="AK187" s="130"/>
      <c r="AL187" s="130"/>
      <c r="AM187" s="130"/>
      <c r="AN187" s="130"/>
      <c r="AO187" s="130"/>
      <c r="AP187" s="130"/>
      <c r="AQ187" s="130"/>
      <c r="AR187" s="130"/>
      <c r="AS187" s="130"/>
      <c r="AT187" s="130"/>
      <c r="AU187" s="130"/>
      <c r="AV187" s="130"/>
      <c r="AW187" s="130"/>
      <c r="AX187" s="130"/>
    </row>
    <row r="188" spans="1:50" ht="20" customHeight="1" x14ac:dyDescent="0.2">
      <c r="A188" s="198"/>
      <c r="B188" s="130"/>
      <c r="C188" s="130"/>
      <c r="D188" s="130"/>
      <c r="E188" s="130"/>
      <c r="F188" s="130"/>
      <c r="G188" s="130"/>
      <c r="H188" s="130"/>
      <c r="I188" s="130"/>
      <c r="J188" s="130"/>
      <c r="K188" s="130"/>
      <c r="L188" s="130"/>
      <c r="M188" s="130"/>
      <c r="N188" s="130"/>
      <c r="O188" s="130"/>
      <c r="P188" s="139">
        <v>0.77763128815057059</v>
      </c>
      <c r="Q188" s="139">
        <v>0.30409118643885419</v>
      </c>
      <c r="R188" s="139">
        <v>6.4047014577839081E-2</v>
      </c>
      <c r="S188" s="130"/>
      <c r="T188" s="130"/>
      <c r="V188" s="130"/>
      <c r="W188" s="130"/>
      <c r="X188" s="130"/>
      <c r="Y188" s="130"/>
      <c r="Z188" s="130"/>
      <c r="AA188" s="130"/>
      <c r="AB188" s="130"/>
      <c r="AC188" s="130"/>
      <c r="AD188" s="130"/>
      <c r="AE188" s="130"/>
      <c r="AF188" s="130"/>
      <c r="AG188" s="130"/>
      <c r="AH188" s="130"/>
      <c r="AI188" s="130"/>
      <c r="AJ188" s="130"/>
      <c r="AK188" s="130"/>
      <c r="AL188" s="130"/>
      <c r="AM188" s="130"/>
      <c r="AN188" s="130"/>
      <c r="AO188" s="130"/>
      <c r="AP188" s="130"/>
      <c r="AQ188" s="130"/>
      <c r="AR188" s="130"/>
      <c r="AS188" s="130"/>
      <c r="AT188" s="130"/>
      <c r="AU188" s="130"/>
      <c r="AV188" s="130"/>
      <c r="AW188" s="130"/>
      <c r="AX188" s="130"/>
    </row>
    <row r="189" spans="1:50" ht="20" customHeight="1" x14ac:dyDescent="0.2">
      <c r="A189" s="198"/>
      <c r="B189" s="130"/>
      <c r="C189" s="130"/>
      <c r="D189" s="130"/>
      <c r="E189" s="130"/>
      <c r="F189" s="130"/>
      <c r="G189" s="130"/>
      <c r="H189" s="130"/>
      <c r="I189" s="130"/>
      <c r="J189" s="130"/>
      <c r="K189" s="130"/>
      <c r="L189" s="130"/>
      <c r="M189" s="130"/>
      <c r="N189" s="130"/>
      <c r="O189" s="130"/>
      <c r="P189" s="139">
        <v>0</v>
      </c>
      <c r="Q189" s="139">
        <v>0</v>
      </c>
      <c r="R189" s="139">
        <v>0</v>
      </c>
      <c r="S189" s="130"/>
      <c r="T189" s="130"/>
      <c r="V189" s="130"/>
      <c r="W189" s="130"/>
      <c r="X189" s="130"/>
      <c r="Y189" s="130"/>
      <c r="Z189" s="130"/>
      <c r="AA189" s="130"/>
      <c r="AB189" s="130"/>
      <c r="AC189" s="130"/>
      <c r="AD189" s="130"/>
      <c r="AE189" s="130"/>
      <c r="AF189" s="130"/>
      <c r="AG189" s="130"/>
      <c r="AH189" s="130"/>
      <c r="AI189" s="130"/>
      <c r="AJ189" s="130"/>
      <c r="AK189" s="130"/>
      <c r="AL189" s="130"/>
      <c r="AM189" s="130"/>
      <c r="AN189" s="130"/>
      <c r="AO189" s="130"/>
      <c r="AP189" s="130"/>
      <c r="AQ189" s="130"/>
      <c r="AR189" s="130"/>
      <c r="AS189" s="130"/>
      <c r="AT189" s="130"/>
      <c r="AU189" s="130"/>
      <c r="AV189" s="130"/>
      <c r="AW189" s="130"/>
      <c r="AX189" s="130"/>
    </row>
    <row r="190" spans="1:50" ht="20" customHeight="1" x14ac:dyDescent="0.2">
      <c r="A190" s="198"/>
      <c r="B190" s="130"/>
      <c r="C190" s="130"/>
      <c r="D190" s="130"/>
      <c r="E190" s="130"/>
      <c r="F190" s="130"/>
      <c r="G190" s="130"/>
      <c r="H190" s="130"/>
      <c r="I190" s="130"/>
      <c r="J190" s="130"/>
      <c r="K190" s="130"/>
      <c r="L190" s="130"/>
      <c r="M190" s="130"/>
      <c r="N190" s="130"/>
      <c r="O190" s="130"/>
      <c r="P190" s="140">
        <v>0.59875962341984112</v>
      </c>
      <c r="Q190" s="140">
        <v>0.76125070355271895</v>
      </c>
      <c r="R190" s="140">
        <v>0.74813831123368701</v>
      </c>
      <c r="S190" s="130"/>
      <c r="T190" s="130"/>
      <c r="V190" s="130"/>
      <c r="W190" s="130"/>
      <c r="X190" s="130"/>
      <c r="Y190" s="130"/>
      <c r="Z190" s="130"/>
      <c r="AA190" s="130"/>
      <c r="AB190" s="130"/>
      <c r="AC190" s="130"/>
      <c r="AD190" s="130"/>
      <c r="AE190" s="130"/>
      <c r="AF190" s="130"/>
      <c r="AG190" s="130"/>
      <c r="AH190" s="130"/>
      <c r="AI190" s="130"/>
      <c r="AJ190" s="130"/>
      <c r="AK190" s="130"/>
      <c r="AL190" s="130"/>
      <c r="AM190" s="130"/>
      <c r="AN190" s="130"/>
      <c r="AO190" s="130"/>
      <c r="AP190" s="130"/>
      <c r="AQ190" s="130"/>
      <c r="AR190" s="130"/>
      <c r="AS190" s="130"/>
      <c r="AT190" s="130"/>
      <c r="AU190" s="130"/>
      <c r="AV190" s="130"/>
      <c r="AW190" s="130"/>
      <c r="AX190" s="130"/>
    </row>
    <row r="191" spans="1:50" ht="20" customHeight="1" x14ac:dyDescent="0.2">
      <c r="A191" s="198"/>
      <c r="B191" s="130"/>
      <c r="C191" s="130"/>
      <c r="D191" s="130"/>
      <c r="E191" s="130"/>
      <c r="F191" s="130"/>
      <c r="G191" s="130"/>
      <c r="H191" s="130"/>
      <c r="I191" s="130"/>
      <c r="J191" s="130"/>
      <c r="K191" s="130"/>
      <c r="L191" s="130"/>
      <c r="M191" s="130"/>
      <c r="N191" s="130"/>
      <c r="O191" s="130"/>
      <c r="P191" s="130">
        <v>1</v>
      </c>
      <c r="Q191" s="130">
        <v>1</v>
      </c>
      <c r="R191" s="130">
        <v>1</v>
      </c>
      <c r="S191" s="130"/>
      <c r="T191" s="141" t="str">
        <f>HYPERLINK("#Blueprint!torchcode", "&lt;/&gt;")</f>
        <v>&lt;/&gt;</v>
      </c>
      <c r="V191" s="141" t="str">
        <f>HYPERLINK("#Blueprint!torchcode", "&lt;/&gt;")</f>
        <v>&lt;/&gt;</v>
      </c>
      <c r="W191" s="130"/>
      <c r="X191" s="130"/>
      <c r="Y191" s="130"/>
      <c r="Z191" s="130"/>
      <c r="AA191" s="130"/>
      <c r="AB191" s="130"/>
      <c r="AC191" s="130"/>
      <c r="AD191" s="130"/>
      <c r="AE191" s="130"/>
      <c r="AF191" s="130"/>
      <c r="AG191" s="130"/>
      <c r="AH191" s="130"/>
      <c r="AI191" s="130"/>
      <c r="AJ191" s="130"/>
      <c r="AK191" s="130"/>
      <c r="AL191" s="130"/>
      <c r="AM191" s="130"/>
      <c r="AN191" s="130"/>
      <c r="AO191" s="130"/>
      <c r="AP191" s="130"/>
      <c r="AQ191" s="130"/>
      <c r="AR191" s="130"/>
      <c r="AS191" s="130"/>
      <c r="AT191" s="130"/>
      <c r="AU191" s="130"/>
      <c r="AV191" s="130"/>
      <c r="AW191" s="130"/>
      <c r="AX191" s="130"/>
    </row>
    <row r="192" spans="1:50" ht="20" customHeight="1" x14ac:dyDescent="0.2">
      <c r="A192" s="198"/>
      <c r="B192" s="130"/>
      <c r="C192" s="130"/>
      <c r="D192" s="130"/>
      <c r="E192" s="130"/>
      <c r="F192" s="130"/>
      <c r="G192" s="130"/>
      <c r="H192" s="130"/>
      <c r="I192" s="130"/>
      <c r="J192" s="130"/>
      <c r="K192" s="130"/>
      <c r="L192" s="130"/>
      <c r="M192" s="130"/>
      <c r="N192" s="130"/>
      <c r="O192" s="130"/>
      <c r="P192" s="130"/>
      <c r="Q192" s="130"/>
      <c r="R192" s="130"/>
      <c r="S192" s="130"/>
      <c r="T192" s="142" t="str">
        <f>HYPERLINK("#X", "▲")</f>
        <v>▲</v>
      </c>
      <c r="V192" s="142" t="str">
        <f>HYPERLINK("#X", "▲")</f>
        <v>▲</v>
      </c>
      <c r="W192" s="130"/>
      <c r="X192" s="130"/>
      <c r="Y192" s="130"/>
      <c r="Z192" s="130"/>
      <c r="AA192" s="130"/>
      <c r="AB192" s="130"/>
      <c r="AC192" s="130"/>
      <c r="AD192" s="130"/>
      <c r="AE192" s="130"/>
      <c r="AF192" s="130"/>
      <c r="AG192" s="130"/>
      <c r="AH192" s="130"/>
      <c r="AI192" s="130"/>
      <c r="AJ192" s="130"/>
      <c r="AK192" s="130"/>
      <c r="AL192" s="130"/>
      <c r="AM192" s="130"/>
      <c r="AN192" s="130"/>
      <c r="AO192" s="130"/>
      <c r="AP192" s="130"/>
      <c r="AQ192" s="130"/>
      <c r="AR192" s="130"/>
      <c r="AS192" s="130"/>
      <c r="AT192" s="130"/>
      <c r="AU192" s="130"/>
      <c r="AV192" s="130"/>
      <c r="AW192" s="130"/>
      <c r="AX192" s="130"/>
    </row>
    <row r="193" spans="1:60" ht="20" customHeight="1" x14ac:dyDescent="0.2">
      <c r="P193" s="143" t="s">
        <v>117</v>
      </c>
      <c r="Q193" s="143" t="s">
        <v>117</v>
      </c>
      <c r="R193" s="143" t="s">
        <v>117</v>
      </c>
      <c r="AI193" s="160" t="s">
        <v>128</v>
      </c>
      <c r="AJ193" s="160" t="s">
        <v>128</v>
      </c>
      <c r="AK193" s="160" t="s">
        <v>128</v>
      </c>
    </row>
    <row r="194" spans="1:60" ht="20" customHeight="1" x14ac:dyDescent="0.2">
      <c r="A194" s="199" t="s">
        <v>273</v>
      </c>
      <c r="B194" s="123"/>
      <c r="C194" s="123"/>
      <c r="D194" s="123"/>
      <c r="E194" s="123"/>
      <c r="F194" s="123"/>
      <c r="G194" s="123"/>
      <c r="H194" s="123"/>
      <c r="I194" s="123"/>
      <c r="J194" s="123"/>
      <c r="K194" s="123"/>
      <c r="L194" s="123"/>
      <c r="M194" s="123"/>
      <c r="N194" s="123"/>
      <c r="O194" s="123"/>
      <c r="P194" s="144" t="s">
        <v>271</v>
      </c>
      <c r="Q194" s="123"/>
      <c r="R194" s="123"/>
      <c r="S194" s="123"/>
      <c r="T194" s="123"/>
      <c r="V194" s="123"/>
      <c r="W194" s="123"/>
      <c r="X194" s="123"/>
      <c r="Y194" s="123"/>
      <c r="Z194" s="123"/>
      <c r="AA194" s="123"/>
      <c r="AB194" s="123"/>
      <c r="AC194" s="123"/>
      <c r="AD194" s="123"/>
      <c r="AE194" s="123"/>
      <c r="AF194" s="123"/>
      <c r="AG194" s="123"/>
      <c r="AH194" s="123"/>
      <c r="AI194" s="144" t="s">
        <v>209</v>
      </c>
      <c r="AJ194" s="123"/>
      <c r="AK194" s="123"/>
      <c r="AL194" s="123"/>
      <c r="AM194" s="123"/>
      <c r="AN194" s="123"/>
      <c r="AO194" s="123"/>
      <c r="AP194" s="123"/>
      <c r="AQ194" s="123"/>
      <c r="AR194" s="123"/>
      <c r="AS194" s="123"/>
      <c r="AT194" s="123"/>
      <c r="AU194" s="144" t="s">
        <v>280</v>
      </c>
      <c r="AV194" s="123"/>
      <c r="AW194" s="123"/>
      <c r="AX194" s="123"/>
      <c r="AZ194" s="117" t="s">
        <v>282</v>
      </c>
    </row>
    <row r="195" spans="1:60" ht="20" customHeight="1" x14ac:dyDescent="0.2">
      <c r="A195" s="199"/>
      <c r="B195" s="123"/>
      <c r="C195" s="123"/>
      <c r="D195" s="123"/>
      <c r="E195" s="123"/>
      <c r="F195" s="123"/>
      <c r="G195" s="123"/>
      <c r="H195" s="123"/>
      <c r="I195" s="123"/>
      <c r="J195" s="123"/>
      <c r="K195" s="123"/>
      <c r="L195" s="123"/>
      <c r="M195" s="123"/>
      <c r="N195" s="152" t="s">
        <v>270</v>
      </c>
      <c r="O195" s="123"/>
      <c r="P195" s="145" t="s">
        <v>272</v>
      </c>
      <c r="Q195" s="123"/>
      <c r="R195" s="123"/>
      <c r="S195" s="123"/>
      <c r="T195" s="123"/>
      <c r="V195" s="123"/>
      <c r="W195" s="123"/>
      <c r="X195" s="123"/>
      <c r="Y195" s="123"/>
      <c r="Z195" s="123"/>
      <c r="AA195" s="123"/>
      <c r="AB195" s="123"/>
      <c r="AC195" s="123"/>
      <c r="AD195" s="123"/>
      <c r="AE195" s="123"/>
      <c r="AF195" s="123"/>
      <c r="AG195" s="161" t="s">
        <v>278</v>
      </c>
      <c r="AH195" s="123"/>
      <c r="AI195" s="145" t="s">
        <v>279</v>
      </c>
      <c r="AJ195" s="123"/>
      <c r="AK195" s="123"/>
      <c r="AL195" s="123"/>
      <c r="AM195" s="123"/>
      <c r="AN195" s="123"/>
      <c r="AO195" s="123"/>
      <c r="AP195" s="123"/>
      <c r="AQ195" s="123"/>
      <c r="AR195" s="123"/>
      <c r="AS195" s="123"/>
      <c r="AT195" s="123"/>
      <c r="AU195" s="161" t="s">
        <v>281</v>
      </c>
      <c r="AV195" s="123"/>
      <c r="AW195" s="123"/>
      <c r="AX195" s="123"/>
      <c r="AZ195" s="129" t="s">
        <v>283</v>
      </c>
    </row>
    <row r="196" spans="1:60" ht="20" customHeight="1" x14ac:dyDescent="0.2">
      <c r="A196" s="199"/>
      <c r="B196" s="123"/>
      <c r="C196" s="123"/>
      <c r="D196" s="123"/>
      <c r="E196" s="123"/>
      <c r="F196" s="153" cm="1">
        <f t="array" ref="F196:N205">Blueprint!newW_9</f>
        <v>-0.49535214618602286</v>
      </c>
      <c r="G196" s="154">
        <v>-0.82580347674683707</v>
      </c>
      <c r="H196" s="154">
        <v>0.15402299511058037</v>
      </c>
      <c r="I196" s="154">
        <v>-0.55500861783240585</v>
      </c>
      <c r="J196" s="154">
        <v>-0.24867960577830672</v>
      </c>
      <c r="K196" s="154">
        <v>-0.95089585939206756</v>
      </c>
      <c r="L196" s="154">
        <v>-0.10543742822483182</v>
      </c>
      <c r="M196" s="154">
        <v>-0.76593484583821791</v>
      </c>
      <c r="N196" s="155">
        <v>0.74290846979672576</v>
      </c>
      <c r="O196" s="156" t="s">
        <v>113</v>
      </c>
      <c r="P196" s="146" cm="1">
        <f t="array" ref="P196:R205">MMULT(Blueprint_ep1!F196:N205,Blueprint_ep1!P183:R191)</f>
        <v>-0.55368624290741753</v>
      </c>
      <c r="Q196" s="146">
        <v>-0.59049850532050085</v>
      </c>
      <c r="R196" s="146">
        <v>-0.36407616593115277</v>
      </c>
      <c r="S196" s="123"/>
      <c r="T196" s="123"/>
      <c r="V196" s="123"/>
      <c r="W196" s="123"/>
      <c r="X196" s="123"/>
      <c r="Y196" s="123"/>
      <c r="Z196" s="123"/>
      <c r="AA196" s="123"/>
      <c r="AB196" s="123"/>
      <c r="AC196" s="123"/>
      <c r="AD196" s="123"/>
      <c r="AE196" s="146" cm="1">
        <f t="array" ref="AE196:AG205">0.5*erf_10 + 0.399*X_10* EXP(-0.5*X_10^2)</f>
        <v>0.22667228923053262</v>
      </c>
      <c r="AF196" s="146">
        <v>0.2129349253468272</v>
      </c>
      <c r="AG196" s="146">
        <v>0.30634914945699077</v>
      </c>
      <c r="AH196" s="156" t="s">
        <v>113</v>
      </c>
      <c r="AI196" s="146" cm="1">
        <f t="array" ref="AI196:AK205">G_10* MaskGELU_10</f>
        <v>1.7080781828840527E-2</v>
      </c>
      <c r="AJ196" s="146">
        <v>1.4089534313912518E-2</v>
      </c>
      <c r="AK196" s="146">
        <v>1.9060050660874999E-2</v>
      </c>
      <c r="AL196" s="156" t="s">
        <v>113</v>
      </c>
      <c r="AM196" s="153" cm="1">
        <f t="array" ref="AM196:AU205">MMULT(G_9, TRANSPOSE(X_8))</f>
        <v>0</v>
      </c>
      <c r="AN196" s="154">
        <v>1.7179952560425607E-2</v>
      </c>
      <c r="AO196" s="154">
        <v>5.8699011704500467E-3</v>
      </c>
      <c r="AP196" s="154">
        <v>7.052565196567516E-3</v>
      </c>
      <c r="AQ196" s="154">
        <v>0</v>
      </c>
      <c r="AR196" s="154">
        <v>1.8787792924600137E-2</v>
      </c>
      <c r="AS196" s="154">
        <v>0</v>
      </c>
      <c r="AT196" s="154">
        <v>3.5212504518204644E-2</v>
      </c>
      <c r="AU196" s="155">
        <v>5.0230366803628045E-2</v>
      </c>
      <c r="AV196" s="123"/>
      <c r="AW196" s="123"/>
      <c r="AX196" s="123"/>
      <c r="AY196" s="128" t="s">
        <v>113</v>
      </c>
      <c r="AZ196" s="125" cm="1">
        <f t="array" ref="AZ196:BH205">W_9 - lrate * dW_9</f>
        <v>-0.49535214618602286</v>
      </c>
      <c r="BA196" s="126">
        <v>-0.82752147200287962</v>
      </c>
      <c r="BB196" s="126">
        <v>0.15343600499353538</v>
      </c>
      <c r="BC196" s="126">
        <v>-0.55571387435206265</v>
      </c>
      <c r="BD196" s="126">
        <v>-0.24867960577830672</v>
      </c>
      <c r="BE196" s="126">
        <v>-0.95277463868452761</v>
      </c>
      <c r="BF196" s="126">
        <v>-0.10543742822483182</v>
      </c>
      <c r="BG196" s="126">
        <v>-0.76945609629003842</v>
      </c>
      <c r="BH196" s="127">
        <v>0.7378854331163629</v>
      </c>
    </row>
    <row r="197" spans="1:60" ht="20" customHeight="1" x14ac:dyDescent="0.2">
      <c r="A197" s="199"/>
      <c r="B197" s="123"/>
      <c r="C197" s="123"/>
      <c r="D197" s="123"/>
      <c r="E197" s="123"/>
      <c r="F197" s="153">
        <v>0.98889259591282941</v>
      </c>
      <c r="G197" s="154">
        <v>0.68254692683433116</v>
      </c>
      <c r="H197" s="154">
        <v>-6.9450615856867116E-3</v>
      </c>
      <c r="I197" s="154">
        <v>0.28269918462871152</v>
      </c>
      <c r="J197" s="154">
        <v>0.72291237488389015</v>
      </c>
      <c r="K197" s="154">
        <v>0.17089960541344806</v>
      </c>
      <c r="L197" s="154">
        <v>-0.81849968712776899</v>
      </c>
      <c r="M197" s="154">
        <v>-0.75063497865965279</v>
      </c>
      <c r="N197" s="155">
        <v>0.85041455217479234</v>
      </c>
      <c r="O197" s="156" t="s">
        <v>113</v>
      </c>
      <c r="P197" s="147">
        <v>0.58405256567524655</v>
      </c>
      <c r="Q197" s="147">
        <v>0.69068125984361206</v>
      </c>
      <c r="R197" s="147">
        <v>0.70657647336150686</v>
      </c>
      <c r="S197" s="123"/>
      <c r="T197" s="123"/>
      <c r="V197" s="123"/>
      <c r="W197" s="123"/>
      <c r="X197" s="123"/>
      <c r="Y197" s="123"/>
      <c r="Z197" s="123"/>
      <c r="AA197" s="123"/>
      <c r="AB197" s="123"/>
      <c r="AC197" s="123"/>
      <c r="AD197" s="123"/>
      <c r="AE197" s="147">
        <v>0.8740673407158599</v>
      </c>
      <c r="AF197" s="147">
        <v>0.93675174116611082</v>
      </c>
      <c r="AG197" s="147">
        <v>0.94559294831550211</v>
      </c>
      <c r="AH197" s="156" t="s">
        <v>113</v>
      </c>
      <c r="AI197" s="147">
        <v>0.11778651615478312</v>
      </c>
      <c r="AJ197" s="147">
        <v>0.12300563117284451</v>
      </c>
      <c r="AK197" s="147">
        <v>0.11466818717102423</v>
      </c>
      <c r="AL197" s="156" t="s">
        <v>113</v>
      </c>
      <c r="AM197" s="153">
        <v>0</v>
      </c>
      <c r="AN197" s="154">
        <v>0.12007831068869659</v>
      </c>
      <c r="AO197" s="154">
        <v>4.0816078149046545E-2</v>
      </c>
      <c r="AP197" s="154">
        <v>5.3520289656281514E-2</v>
      </c>
      <c r="AQ197" s="154">
        <v>0</v>
      </c>
      <c r="AR197" s="154">
        <v>0.13634356366157935</v>
      </c>
      <c r="AS197" s="154">
        <v>0</v>
      </c>
      <c r="AT197" s="154">
        <v>0.24995159723040553</v>
      </c>
      <c r="AU197" s="155">
        <v>0.35546033449865189</v>
      </c>
      <c r="AV197" s="123"/>
      <c r="AW197" s="123"/>
      <c r="AX197" s="123"/>
      <c r="AY197" s="128" t="s">
        <v>113</v>
      </c>
      <c r="AZ197" s="125">
        <v>0.98889259591282941</v>
      </c>
      <c r="BA197" s="126">
        <v>0.67053909576546145</v>
      </c>
      <c r="BB197" s="126">
        <v>-1.1026669400591365E-2</v>
      </c>
      <c r="BC197" s="126">
        <v>0.27734715566308338</v>
      </c>
      <c r="BD197" s="126">
        <v>0.72291237488389015</v>
      </c>
      <c r="BE197" s="126">
        <v>0.15726524904729014</v>
      </c>
      <c r="BF197" s="126">
        <v>-0.81849968712776899</v>
      </c>
      <c r="BG197" s="126">
        <v>-0.77563013838269335</v>
      </c>
      <c r="BH197" s="127">
        <v>0.81486851872492716</v>
      </c>
    </row>
    <row r="198" spans="1:60" ht="20" customHeight="1" x14ac:dyDescent="0.2">
      <c r="A198" s="199"/>
      <c r="B198" s="123"/>
      <c r="C198" s="123"/>
      <c r="D198" s="123"/>
      <c r="E198" s="123"/>
      <c r="F198" s="153">
        <v>0.84904818754825395</v>
      </c>
      <c r="G198" s="154">
        <v>0.772385530663665</v>
      </c>
      <c r="H198" s="154">
        <v>9.9181457224320771E-2</v>
      </c>
      <c r="I198" s="154">
        <v>-0.63918886957080312</v>
      </c>
      <c r="J198" s="154">
        <v>0.10017094714567065</v>
      </c>
      <c r="K198" s="154">
        <v>-0.48549924394069383</v>
      </c>
      <c r="L198" s="154">
        <v>0.88624332519248128</v>
      </c>
      <c r="M198" s="154">
        <v>0.63585769698225547</v>
      </c>
      <c r="N198" s="155">
        <v>-0.7002526575453768</v>
      </c>
      <c r="O198" s="156" t="s">
        <v>113</v>
      </c>
      <c r="P198" s="147">
        <v>-0.81054917723039432</v>
      </c>
      <c r="Q198" s="147">
        <v>-0.15263379981844472</v>
      </c>
      <c r="R198" s="147">
        <v>0.18016209685676909</v>
      </c>
      <c r="S198" s="123"/>
      <c r="T198" s="123"/>
      <c r="V198" s="123"/>
      <c r="W198" s="123"/>
      <c r="X198" s="123"/>
      <c r="Y198" s="123"/>
      <c r="Z198" s="123"/>
      <c r="AA198" s="123"/>
      <c r="AB198" s="123"/>
      <c r="AC198" s="123"/>
      <c r="AD198" s="123"/>
      <c r="AE198" s="147">
        <v>0.14224088105856578</v>
      </c>
      <c r="AF198" s="147">
        <v>0.41264721629538792</v>
      </c>
      <c r="AG198" s="147">
        <v>0.61235135458787138</v>
      </c>
      <c r="AH198" s="156" t="s">
        <v>113</v>
      </c>
      <c r="AI198" s="147">
        <v>1.0625213807405111E-2</v>
      </c>
      <c r="AJ198" s="147">
        <v>3.0078210038140232E-2</v>
      </c>
      <c r="AK198" s="147">
        <v>4.8107531469917433E-2</v>
      </c>
      <c r="AL198" s="156" t="s">
        <v>113</v>
      </c>
      <c r="AM198" s="153">
        <v>0</v>
      </c>
      <c r="AN198" s="154">
        <v>4.0964358928038694E-2</v>
      </c>
      <c r="AO198" s="154">
        <v>1.4026651899150706E-2</v>
      </c>
      <c r="AP198" s="154">
        <v>1.0825013043107687E-2</v>
      </c>
      <c r="AQ198" s="154">
        <v>0</v>
      </c>
      <c r="AR198" s="154">
        <v>2.0490161045740439E-2</v>
      </c>
      <c r="AS198" s="154">
        <v>0</v>
      </c>
      <c r="AT198" s="154">
        <v>6.5250094922743362E-2</v>
      </c>
      <c r="AU198" s="155">
        <v>8.8810955315462778E-2</v>
      </c>
      <c r="AV198" s="123"/>
      <c r="AW198" s="123"/>
      <c r="AX198" s="123"/>
      <c r="AY198" s="128" t="s">
        <v>113</v>
      </c>
      <c r="AZ198" s="125">
        <v>0.84904818754825395</v>
      </c>
      <c r="BA198" s="126">
        <v>0.76828909477086116</v>
      </c>
      <c r="BB198" s="126">
        <v>9.7778792034405704E-2</v>
      </c>
      <c r="BC198" s="126">
        <v>-0.64027137087511388</v>
      </c>
      <c r="BD198" s="126">
        <v>0.10017094714567065</v>
      </c>
      <c r="BE198" s="126">
        <v>-0.48754826004526786</v>
      </c>
      <c r="BF198" s="126">
        <v>0.88624332519248128</v>
      </c>
      <c r="BG198" s="126">
        <v>0.62933268748998117</v>
      </c>
      <c r="BH198" s="127">
        <v>-0.70913375307692306</v>
      </c>
    </row>
    <row r="199" spans="1:60" ht="20" customHeight="1" x14ac:dyDescent="0.2">
      <c r="A199" s="199"/>
      <c r="B199" s="123"/>
      <c r="C199" s="123"/>
      <c r="D199" s="123"/>
      <c r="E199" s="123"/>
      <c r="F199" s="153">
        <v>0.65862647746023617</v>
      </c>
      <c r="G199" s="154">
        <v>-7.1583341751069868E-2</v>
      </c>
      <c r="H199" s="154">
        <v>-0.87985758306811945</v>
      </c>
      <c r="I199" s="154">
        <v>-0.95560136345197677</v>
      </c>
      <c r="J199" s="154">
        <v>7.4577544815838337E-2</v>
      </c>
      <c r="K199" s="154">
        <v>0.65040120615245645</v>
      </c>
      <c r="L199" s="154">
        <v>0.69066423736512661</v>
      </c>
      <c r="M199" s="154">
        <v>0.3523765502174796</v>
      </c>
      <c r="N199" s="155">
        <v>-0.25479037108320324</v>
      </c>
      <c r="O199" s="156" t="s">
        <v>113</v>
      </c>
      <c r="P199" s="147">
        <v>0.2923111875156762</v>
      </c>
      <c r="Q199" s="147">
        <v>-0.15713960973631294</v>
      </c>
      <c r="R199" s="147">
        <v>-0.21423583341065017</v>
      </c>
      <c r="S199" s="123"/>
      <c r="T199" s="123"/>
      <c r="V199" s="123"/>
      <c r="W199" s="123"/>
      <c r="X199" s="123"/>
      <c r="Y199" s="123"/>
      <c r="Z199" s="123"/>
      <c r="AA199" s="123"/>
      <c r="AB199" s="123"/>
      <c r="AC199" s="123"/>
      <c r="AD199" s="123"/>
      <c r="AE199" s="147">
        <v>0.68555198128557926</v>
      </c>
      <c r="AF199" s="147">
        <v>0.41019727807330048</v>
      </c>
      <c r="AG199" s="147">
        <v>0.37983192698235202</v>
      </c>
      <c r="AH199" s="156" t="s">
        <v>113</v>
      </c>
      <c r="AI199" s="147">
        <v>7.2598851529588199E-2</v>
      </c>
      <c r="AJ199" s="147">
        <v>2.9848830846807207E-2</v>
      </c>
      <c r="AK199" s="147">
        <v>2.4629729904746482E-2</v>
      </c>
      <c r="AL199" s="156" t="s">
        <v>113</v>
      </c>
      <c r="AM199" s="153">
        <v>0</v>
      </c>
      <c r="AN199" s="154">
        <v>2.7290822325939851E-2</v>
      </c>
      <c r="AO199" s="154">
        <v>9.2601798791137665E-3</v>
      </c>
      <c r="AP199" s="154">
        <v>2.0648466517264995E-2</v>
      </c>
      <c r="AQ199" s="154">
        <v>0</v>
      </c>
      <c r="AR199" s="154">
        <v>6.7109365489481501E-2</v>
      </c>
      <c r="AS199" s="154">
        <v>0</v>
      </c>
      <c r="AT199" s="154">
        <v>8.4618149022006151E-2</v>
      </c>
      <c r="AU199" s="155">
        <v>0.12707741228114189</v>
      </c>
      <c r="AV199" s="123"/>
      <c r="AW199" s="123"/>
      <c r="AX199" s="123"/>
      <c r="AY199" s="128" t="s">
        <v>113</v>
      </c>
      <c r="AZ199" s="125">
        <v>0.65862647746023617</v>
      </c>
      <c r="BA199" s="126">
        <v>-7.4312423983663847E-2</v>
      </c>
      <c r="BB199" s="126">
        <v>-0.88078360105603082</v>
      </c>
      <c r="BC199" s="126">
        <v>-0.95766621010370323</v>
      </c>
      <c r="BD199" s="126">
        <v>7.4577544815838337E-2</v>
      </c>
      <c r="BE199" s="126">
        <v>0.64369026960350828</v>
      </c>
      <c r="BF199" s="126">
        <v>0.69066423736512661</v>
      </c>
      <c r="BG199" s="126">
        <v>0.343914735315279</v>
      </c>
      <c r="BH199" s="127">
        <v>-0.26749811231131743</v>
      </c>
    </row>
    <row r="200" spans="1:60" ht="20" customHeight="1" x14ac:dyDescent="0.2">
      <c r="A200" s="199"/>
      <c r="B200" s="123"/>
      <c r="C200" s="123"/>
      <c r="D200" s="123"/>
      <c r="E200" s="123"/>
      <c r="F200" s="153">
        <v>0.17126056155707817</v>
      </c>
      <c r="G200" s="154">
        <v>0.3891362231257291</v>
      </c>
      <c r="H200" s="154">
        <v>0.42174974883754923</v>
      </c>
      <c r="I200" s="154">
        <v>0.43705591496456025</v>
      </c>
      <c r="J200" s="154">
        <v>0.98057489516213536</v>
      </c>
      <c r="K200" s="154">
        <v>-0.10353213766916088</v>
      </c>
      <c r="L200" s="154">
        <v>-0.80414718249812722</v>
      </c>
      <c r="M200" s="154">
        <v>-0.62139417824009291</v>
      </c>
      <c r="N200" s="155">
        <v>-0.11251689182914518</v>
      </c>
      <c r="O200" s="156" t="s">
        <v>113</v>
      </c>
      <c r="P200" s="147">
        <v>-0.48749657345055752</v>
      </c>
      <c r="Q200" s="147">
        <v>-0.28993594510390841</v>
      </c>
      <c r="R200" s="147">
        <v>-0.25301762905105307</v>
      </c>
      <c r="S200" s="123"/>
      <c r="T200" s="123"/>
      <c r="V200" s="123"/>
      <c r="W200" s="123"/>
      <c r="X200" s="123"/>
      <c r="Y200" s="123"/>
      <c r="Z200" s="123"/>
      <c r="AA200" s="123"/>
      <c r="AB200" s="123"/>
      <c r="AC200" s="123"/>
      <c r="AD200" s="123"/>
      <c r="AE200" s="147">
        <v>0.25278466897253737</v>
      </c>
      <c r="AF200" s="147">
        <v>0.34156484907342122</v>
      </c>
      <c r="AG200" s="147">
        <v>0.3599393103451507</v>
      </c>
      <c r="AH200" s="156" t="s">
        <v>113</v>
      </c>
      <c r="AI200" s="147">
        <v>1.9200472741756569E-2</v>
      </c>
      <c r="AJ200" s="147">
        <v>2.3805304885074451E-2</v>
      </c>
      <c r="AK200" s="147">
        <v>2.3054669608032048E-2</v>
      </c>
      <c r="AL200" s="156" t="s">
        <v>113</v>
      </c>
      <c r="AM200" s="153">
        <v>0</v>
      </c>
      <c r="AN200" s="154">
        <v>2.3737655888646368E-2</v>
      </c>
      <c r="AO200" s="154">
        <v>8.0731196804215959E-3</v>
      </c>
      <c r="AP200" s="154">
        <v>9.7610622368133129E-3</v>
      </c>
      <c r="AQ200" s="154">
        <v>0</v>
      </c>
      <c r="AR200" s="154">
        <v>2.3646454517785912E-2</v>
      </c>
      <c r="AS200" s="154">
        <v>0</v>
      </c>
      <c r="AT200" s="154">
        <v>4.6866354506990698E-2</v>
      </c>
      <c r="AU200" s="155">
        <v>6.6060447234863068E-2</v>
      </c>
      <c r="AV200" s="123"/>
      <c r="AW200" s="123"/>
      <c r="AX200" s="123"/>
      <c r="AY200" s="128" t="s">
        <v>113</v>
      </c>
      <c r="AZ200" s="125">
        <v>0.17126056155707817</v>
      </c>
      <c r="BA200" s="126">
        <v>0.38676245753686445</v>
      </c>
      <c r="BB200" s="126">
        <v>0.42094243686950705</v>
      </c>
      <c r="BC200" s="126">
        <v>0.43607980874087893</v>
      </c>
      <c r="BD200" s="126">
        <v>0.98057489516213536</v>
      </c>
      <c r="BE200" s="126">
        <v>-0.10589678312093946</v>
      </c>
      <c r="BF200" s="126">
        <v>-0.80414718249812722</v>
      </c>
      <c r="BG200" s="126">
        <v>-0.62608081369079194</v>
      </c>
      <c r="BH200" s="127">
        <v>-0.11912293655263148</v>
      </c>
    </row>
    <row r="201" spans="1:60" ht="20" customHeight="1" x14ac:dyDescent="0.2">
      <c r="A201" s="199"/>
      <c r="B201" s="123"/>
      <c r="C201" s="123"/>
      <c r="D201" s="123"/>
      <c r="E201" s="123"/>
      <c r="F201" s="153">
        <v>-0.74594151801160513</v>
      </c>
      <c r="G201" s="154">
        <v>0.53677525476577248</v>
      </c>
      <c r="H201" s="154">
        <v>0.18712271186891608</v>
      </c>
      <c r="I201" s="154">
        <v>0.60940388743935825</v>
      </c>
      <c r="J201" s="154">
        <v>-0.2211772371083498</v>
      </c>
      <c r="K201" s="154">
        <v>-0.56556444592102872</v>
      </c>
      <c r="L201" s="154">
        <v>-0.45588106755167246</v>
      </c>
      <c r="M201" s="154">
        <v>-0.96089043160437138</v>
      </c>
      <c r="N201" s="155">
        <v>-0.44154759296603202</v>
      </c>
      <c r="O201" s="156" t="s">
        <v>113</v>
      </c>
      <c r="P201" s="147">
        <v>-1.3484956549907299</v>
      </c>
      <c r="Q201" s="147">
        <v>-0.94914600969781859</v>
      </c>
      <c r="R201" s="147">
        <v>-0.81929229653879254</v>
      </c>
      <c r="S201" s="123"/>
      <c r="T201" s="123"/>
      <c r="V201" s="123"/>
      <c r="W201" s="123"/>
      <c r="X201" s="123"/>
      <c r="Y201" s="123"/>
      <c r="Z201" s="123"/>
      <c r="AA201" s="123"/>
      <c r="AB201" s="123"/>
      <c r="AC201" s="123"/>
      <c r="AD201" s="123"/>
      <c r="AE201" s="147">
        <v>4.1338605652997587E-2</v>
      </c>
      <c r="AF201" s="147">
        <v>0.10726186025413618</v>
      </c>
      <c r="AG201" s="147">
        <v>0.13982421785378077</v>
      </c>
      <c r="AH201" s="156" t="s">
        <v>113</v>
      </c>
      <c r="AI201" s="147">
        <v>-3.8093723563310568E-2</v>
      </c>
      <c r="AJ201" s="147">
        <v>7.1062630623865168E-3</v>
      </c>
      <c r="AK201" s="147">
        <v>8.3689644015068707E-3</v>
      </c>
      <c r="AL201" s="156" t="s">
        <v>113</v>
      </c>
      <c r="AM201" s="153">
        <v>0</v>
      </c>
      <c r="AN201" s="154">
        <v>7.9456207933433255E-3</v>
      </c>
      <c r="AO201" s="154">
        <v>2.7097112597069383E-3</v>
      </c>
      <c r="AP201" s="154">
        <v>-4.795528725087336E-3</v>
      </c>
      <c r="AQ201" s="154">
        <v>0</v>
      </c>
      <c r="AR201" s="154">
        <v>-2.6925912174176492E-2</v>
      </c>
      <c r="AS201" s="154">
        <v>0</v>
      </c>
      <c r="AT201" s="154">
        <v>-1.1138192925436736E-2</v>
      </c>
      <c r="AU201" s="155">
        <v>-2.2618496099417178E-2</v>
      </c>
      <c r="AV201" s="123"/>
      <c r="AW201" s="123"/>
      <c r="AX201" s="123"/>
      <c r="AY201" s="128" t="s">
        <v>113</v>
      </c>
      <c r="AZ201" s="125">
        <v>-0.74594151801160513</v>
      </c>
      <c r="BA201" s="126">
        <v>0.53598069268643811</v>
      </c>
      <c r="BB201" s="126">
        <v>0.18685174074294539</v>
      </c>
      <c r="BC201" s="126">
        <v>0.60988344031186703</v>
      </c>
      <c r="BD201" s="126">
        <v>-0.2211772371083498</v>
      </c>
      <c r="BE201" s="126">
        <v>-0.56287185470361112</v>
      </c>
      <c r="BF201" s="126">
        <v>-0.45588106755167246</v>
      </c>
      <c r="BG201" s="126">
        <v>-0.95977661231182765</v>
      </c>
      <c r="BH201" s="127">
        <v>-0.43928574335609033</v>
      </c>
    </row>
    <row r="202" spans="1:60" ht="20" customHeight="1" x14ac:dyDescent="0.2">
      <c r="A202" s="199"/>
      <c r="B202" s="123"/>
      <c r="C202" s="123"/>
      <c r="D202" s="123"/>
      <c r="E202" s="123"/>
      <c r="F202" s="153">
        <v>-0.33210024419257755</v>
      </c>
      <c r="G202" s="154">
        <v>0.76258451539347538</v>
      </c>
      <c r="H202" s="154">
        <v>0.91089507065789033</v>
      </c>
      <c r="I202" s="154">
        <v>-0.61473573421038885</v>
      </c>
      <c r="J202" s="154">
        <v>0.7426020591519773</v>
      </c>
      <c r="K202" s="154">
        <v>0.16251746411980886</v>
      </c>
      <c r="L202" s="154">
        <v>-0.32663783570751548</v>
      </c>
      <c r="M202" s="154">
        <v>-0.37502927897395755</v>
      </c>
      <c r="N202" s="155">
        <v>-0.74699589785084608</v>
      </c>
      <c r="O202" s="156" t="s">
        <v>113</v>
      </c>
      <c r="P202" s="147">
        <v>-0.95431119038634393</v>
      </c>
      <c r="Q202" s="147">
        <v>-0.65397431081808288</v>
      </c>
      <c r="R202" s="147">
        <v>-0.42219787781991786</v>
      </c>
      <c r="S202" s="123"/>
      <c r="T202" s="123"/>
      <c r="V202" s="123"/>
      <c r="W202" s="123"/>
      <c r="X202" s="123"/>
      <c r="Y202" s="123"/>
      <c r="Z202" s="123"/>
      <c r="AA202" s="123"/>
      <c r="AB202" s="123"/>
      <c r="AC202" s="123"/>
      <c r="AD202" s="123"/>
      <c r="AE202" s="147">
        <v>0.10609191927125455</v>
      </c>
      <c r="AF202" s="147">
        <v>0.19055316229581343</v>
      </c>
      <c r="AG202" s="147">
        <v>0.2803334754253996</v>
      </c>
      <c r="AH202" s="156" t="s">
        <v>113</v>
      </c>
      <c r="AI202" s="147">
        <v>7.981040042415375E-3</v>
      </c>
      <c r="AJ202" s="147">
        <v>1.2558672651026257E-2</v>
      </c>
      <c r="AK202" s="147">
        <v>1.7237851925157189E-2</v>
      </c>
      <c r="AL202" s="156" t="s">
        <v>113</v>
      </c>
      <c r="AM202" s="153">
        <v>0</v>
      </c>
      <c r="AN202" s="154">
        <v>1.5457103060145874E-2</v>
      </c>
      <c r="AO202" s="154">
        <v>5.282268246416537E-3</v>
      </c>
      <c r="AP202" s="154">
        <v>5.012153486118387E-3</v>
      </c>
      <c r="AQ202" s="154">
        <v>0</v>
      </c>
      <c r="AR202" s="154">
        <v>1.1129321069053691E-2</v>
      </c>
      <c r="AS202" s="154">
        <v>0</v>
      </c>
      <c r="AT202" s="154">
        <v>2.723532035016079E-2</v>
      </c>
      <c r="AU202" s="155">
        <v>3.7777564618598825E-2</v>
      </c>
      <c r="AV202" s="123"/>
      <c r="AW202" s="123"/>
      <c r="AX202" s="123"/>
      <c r="AY202" s="128" t="s">
        <v>113</v>
      </c>
      <c r="AZ202" s="125">
        <v>-0.33210024419257755</v>
      </c>
      <c r="BA202" s="126">
        <v>0.7610388050874608</v>
      </c>
      <c r="BB202" s="126">
        <v>0.91036684383324862</v>
      </c>
      <c r="BC202" s="126">
        <v>-0.61523694955900066</v>
      </c>
      <c r="BD202" s="126">
        <v>0.7426020591519773</v>
      </c>
      <c r="BE202" s="126">
        <v>0.1614045320129035</v>
      </c>
      <c r="BF202" s="126">
        <v>-0.32663783570751548</v>
      </c>
      <c r="BG202" s="126">
        <v>-0.37775281100897362</v>
      </c>
      <c r="BH202" s="127">
        <v>-0.75077365431270593</v>
      </c>
    </row>
    <row r="203" spans="1:60" ht="20" customHeight="1" x14ac:dyDescent="0.2">
      <c r="A203" s="199"/>
      <c r="B203" s="123"/>
      <c r="C203" s="123"/>
      <c r="D203" s="123"/>
      <c r="E203" s="123"/>
      <c r="F203" s="153">
        <v>0.9598722420458452</v>
      </c>
      <c r="G203" s="154">
        <v>-0.79572972882531412</v>
      </c>
      <c r="H203" s="154">
        <v>0.84266075358446269</v>
      </c>
      <c r="I203" s="154">
        <v>0.61127926009559452</v>
      </c>
      <c r="J203" s="154">
        <v>-0.13408753369003534</v>
      </c>
      <c r="K203" s="154">
        <v>0.41633422922312685</v>
      </c>
      <c r="L203" s="154">
        <v>-0.38667081296443939</v>
      </c>
      <c r="M203" s="154">
        <v>-0.76619005640728599</v>
      </c>
      <c r="N203" s="155">
        <v>1.2442037477504515E-2</v>
      </c>
      <c r="O203" s="156" t="s">
        <v>113</v>
      </c>
      <c r="P203" s="147">
        <v>-1.4039211740958884E-2</v>
      </c>
      <c r="Q203" s="147">
        <v>-0.53627352447414589</v>
      </c>
      <c r="R203" s="147">
        <v>-0.79485797682203618</v>
      </c>
      <c r="S203" s="123"/>
      <c r="T203" s="123"/>
      <c r="V203" s="123"/>
      <c r="W203" s="123"/>
      <c r="X203" s="123"/>
      <c r="Y203" s="123"/>
      <c r="Z203" s="123"/>
      <c r="AA203" s="123"/>
      <c r="AB203" s="123"/>
      <c r="AC203" s="123"/>
      <c r="AD203" s="123"/>
      <c r="AE203" s="147">
        <v>0.49162996566582773</v>
      </c>
      <c r="AF203" s="147">
        <v>0.23336539732424985</v>
      </c>
      <c r="AG203" s="147">
        <v>0.14665103865531534</v>
      </c>
      <c r="AH203" s="156" t="s">
        <v>113</v>
      </c>
      <c r="AI203" s="147">
        <v>4.3195912342069362E-2</v>
      </c>
      <c r="AJ203" s="147">
        <v>1.552104621193106E-2</v>
      </c>
      <c r="AK203" s="147">
        <v>8.7727175713062742E-3</v>
      </c>
      <c r="AL203" s="156" t="s">
        <v>113</v>
      </c>
      <c r="AM203" s="153">
        <v>0</v>
      </c>
      <c r="AN203" s="154">
        <v>1.1858468011756756E-2</v>
      </c>
      <c r="AO203" s="154">
        <v>4.0017804101202935E-3</v>
      </c>
      <c r="AP203" s="154">
        <v>1.1509741049234825E-2</v>
      </c>
      <c r="AQ203" s="154">
        <v>0</v>
      </c>
      <c r="AR203" s="154">
        <v>3.8872172684937645E-2</v>
      </c>
      <c r="AS203" s="154">
        <v>0</v>
      </c>
      <c r="AT203" s="154">
        <v>4.4242581664647868E-2</v>
      </c>
      <c r="AU203" s="155">
        <v>6.7489676125306694E-2</v>
      </c>
      <c r="AV203" s="123"/>
      <c r="AW203" s="123"/>
      <c r="AX203" s="123"/>
      <c r="AY203" s="128" t="s">
        <v>113</v>
      </c>
      <c r="AZ203" s="125">
        <v>0.9598722420458452</v>
      </c>
      <c r="BA203" s="126">
        <v>-0.79691557562648985</v>
      </c>
      <c r="BB203" s="126">
        <v>0.84226057554345068</v>
      </c>
      <c r="BC203" s="126">
        <v>0.61012828599067104</v>
      </c>
      <c r="BD203" s="126">
        <v>-0.13408753369003534</v>
      </c>
      <c r="BE203" s="126">
        <v>0.41244701195463307</v>
      </c>
      <c r="BF203" s="126">
        <v>-0.38667081296443939</v>
      </c>
      <c r="BG203" s="126">
        <v>-0.77061431457375074</v>
      </c>
      <c r="BH203" s="127">
        <v>5.6930698649738445E-3</v>
      </c>
    </row>
    <row r="204" spans="1:60" ht="20" customHeight="1" x14ac:dyDescent="0.2">
      <c r="A204" s="199"/>
      <c r="B204" s="123"/>
      <c r="C204" s="123"/>
      <c r="D204" s="123"/>
      <c r="E204" s="123"/>
      <c r="F204" s="153">
        <v>-0.76477361951746825</v>
      </c>
      <c r="G204" s="154">
        <v>-0.41026677006889656</v>
      </c>
      <c r="H204" s="154">
        <v>0.23737029353551092</v>
      </c>
      <c r="I204" s="154">
        <v>0.39852728205949534</v>
      </c>
      <c r="J204" s="154">
        <v>-1.8640184309333563E-2</v>
      </c>
      <c r="K204" s="154">
        <v>-0.54711442324733062</v>
      </c>
      <c r="L204" s="154">
        <v>-0.54539888771250844</v>
      </c>
      <c r="M204" s="154">
        <v>0.48946062435880272</v>
      </c>
      <c r="N204" s="155">
        <v>0.90851030817575262</v>
      </c>
      <c r="O204" s="156" t="s">
        <v>113</v>
      </c>
      <c r="P204" s="147">
        <v>0.84688170538130669</v>
      </c>
      <c r="Q204" s="147">
        <v>1.0572820198981812</v>
      </c>
      <c r="R204" s="147">
        <v>1.0694867268148385</v>
      </c>
      <c r="S204" s="123"/>
      <c r="T204" s="123"/>
      <c r="V204" s="123"/>
      <c r="W204" s="123"/>
      <c r="X204" s="123"/>
      <c r="Y204" s="123"/>
      <c r="Z204" s="123"/>
      <c r="AA204" s="123"/>
      <c r="AB204" s="123"/>
      <c r="AC204" s="123"/>
      <c r="AD204" s="123"/>
      <c r="AE204" s="147">
        <v>1.016570557586707</v>
      </c>
      <c r="AF204" s="147">
        <v>1.094507004603835</v>
      </c>
      <c r="AG204" s="147">
        <v>1.0978770899706554</v>
      </c>
      <c r="AH204" s="156" t="s">
        <v>113</v>
      </c>
      <c r="AI204" s="147">
        <v>0.17731013762261938</v>
      </c>
      <c r="AJ204" s="147">
        <v>-0.8838777159386807</v>
      </c>
      <c r="AK204" s="147">
        <v>-0.90317499003125346</v>
      </c>
      <c r="AL204" s="156" t="s">
        <v>113</v>
      </c>
      <c r="AM204" s="153">
        <v>0</v>
      </c>
      <c r="AN204" s="154">
        <v>-0.90863518491110185</v>
      </c>
      <c r="AO204" s="154">
        <v>-0.30926019052410014</v>
      </c>
      <c r="AP204" s="154">
        <v>-0.20664051623199922</v>
      </c>
      <c r="AQ204" s="154">
        <v>0</v>
      </c>
      <c r="AR204" s="154">
        <v>-0.18874317433789684</v>
      </c>
      <c r="AS204" s="154">
        <v>0</v>
      </c>
      <c r="AT204" s="154">
        <v>-1.2423861936719351</v>
      </c>
      <c r="AU204" s="155">
        <v>-1.6097425683473148</v>
      </c>
      <c r="AV204" s="123"/>
      <c r="AW204" s="123"/>
      <c r="AX204" s="123"/>
      <c r="AY204" s="128" t="s">
        <v>113</v>
      </c>
      <c r="AZ204" s="125">
        <v>-0.76477361951746825</v>
      </c>
      <c r="BA204" s="126">
        <v>-0.31940325157778637</v>
      </c>
      <c r="BB204" s="126">
        <v>0.26829631258792092</v>
      </c>
      <c r="BC204" s="126">
        <v>0.41919133368269523</v>
      </c>
      <c r="BD204" s="126">
        <v>-1.8640184309333563E-2</v>
      </c>
      <c r="BE204" s="126">
        <v>-0.52824010581354097</v>
      </c>
      <c r="BF204" s="126">
        <v>-0.54539888771250844</v>
      </c>
      <c r="BG204" s="126">
        <v>0.61369924372599627</v>
      </c>
      <c r="BH204" s="127">
        <v>1.0694845650104841</v>
      </c>
    </row>
    <row r="205" spans="1:60" ht="20" customHeight="1" x14ac:dyDescent="0.2">
      <c r="A205" s="199"/>
      <c r="B205" s="123"/>
      <c r="C205" s="123"/>
      <c r="D205" s="123"/>
      <c r="E205" s="123"/>
      <c r="F205" s="153">
        <v>0.63348588731833655</v>
      </c>
      <c r="G205" s="154">
        <v>0.35378733798346218</v>
      </c>
      <c r="H205" s="154">
        <v>0.66770001878984486</v>
      </c>
      <c r="I205" s="154">
        <v>-0.19822773141190231</v>
      </c>
      <c r="J205" s="154">
        <v>-0.69368571788072586</v>
      </c>
      <c r="K205" s="154">
        <v>-0.77139725567264994</v>
      </c>
      <c r="L205" s="154">
        <v>7.9626218415796757E-2</v>
      </c>
      <c r="M205" s="154">
        <v>0.25768147642798406</v>
      </c>
      <c r="N205" s="155">
        <v>0.90556040603186894</v>
      </c>
      <c r="O205" s="156" t="s">
        <v>113</v>
      </c>
      <c r="P205" s="148">
        <v>0.42479323004315067</v>
      </c>
      <c r="Q205" s="148">
        <v>1.0742428312487096</v>
      </c>
      <c r="R205" s="148">
        <v>1.3785575476331209</v>
      </c>
      <c r="S205" s="123"/>
      <c r="T205" s="149" t="str">
        <f>HYPERLINK("#Blueprint!torchcode", "&lt;/&gt;")</f>
        <v>&lt;/&gt;</v>
      </c>
      <c r="V205" s="149" t="str">
        <f>HYPERLINK("#Blueprint!torchcode", "&lt;/&gt;")</f>
        <v>&lt;/&gt;</v>
      </c>
      <c r="W205" s="123"/>
      <c r="X205" s="123"/>
      <c r="Y205" s="123"/>
      <c r="Z205" s="123"/>
      <c r="AA205" s="123"/>
      <c r="AB205" s="123"/>
      <c r="AC205" s="123"/>
      <c r="AD205" s="123"/>
      <c r="AE205" s="148">
        <v>0.77273616103615983</v>
      </c>
      <c r="AF205" s="148">
        <v>1.0991557464638881</v>
      </c>
      <c r="AG205" s="148">
        <v>1.1429935933381179</v>
      </c>
      <c r="AH205" s="156" t="s">
        <v>113</v>
      </c>
      <c r="AI205" s="148">
        <v>9.0665414045344533E-2</v>
      </c>
      <c r="AJ205" s="148">
        <v>0.21549882495713665</v>
      </c>
      <c r="AK205" s="148">
        <v>0.28637880210683458</v>
      </c>
      <c r="AL205" s="156" t="s">
        <v>113</v>
      </c>
      <c r="AM205" s="153">
        <v>0</v>
      </c>
      <c r="AN205" s="154">
        <v>0.25979281753457173</v>
      </c>
      <c r="AO205" s="154">
        <v>8.8742809983807874E-2</v>
      </c>
      <c r="AP205" s="154">
        <v>7.7335392749857179E-2</v>
      </c>
      <c r="AQ205" s="154">
        <v>0</v>
      </c>
      <c r="AR205" s="154">
        <v>0.15437726338550128</v>
      </c>
      <c r="AS205" s="154">
        <v>0</v>
      </c>
      <c r="AT205" s="154">
        <v>0.43258637466573246</v>
      </c>
      <c r="AU205" s="155">
        <v>0.59254304110931577</v>
      </c>
      <c r="AV205" s="123"/>
      <c r="AW205" s="123"/>
      <c r="AX205" s="123"/>
      <c r="AY205" s="128" t="s">
        <v>113</v>
      </c>
      <c r="AZ205" s="125">
        <v>0.63348588731833655</v>
      </c>
      <c r="BA205" s="126">
        <v>0.32780805623000503</v>
      </c>
      <c r="BB205" s="126">
        <v>0.65882573779146403</v>
      </c>
      <c r="BC205" s="126">
        <v>-0.20596127068688802</v>
      </c>
      <c r="BD205" s="126">
        <v>-0.69368571788072586</v>
      </c>
      <c r="BE205" s="126">
        <v>-0.78683498201120006</v>
      </c>
      <c r="BF205" s="126">
        <v>7.9626218415796757E-2</v>
      </c>
      <c r="BG205" s="126">
        <v>0.21442283896141082</v>
      </c>
      <c r="BH205" s="127">
        <v>0.84630610192093736</v>
      </c>
    </row>
    <row r="206" spans="1:60" ht="20" customHeight="1" x14ac:dyDescent="0.2">
      <c r="A206" s="199"/>
      <c r="B206" s="123"/>
      <c r="C206" s="123"/>
      <c r="D206" s="123"/>
      <c r="E206" s="123"/>
      <c r="F206" s="123"/>
      <c r="G206" s="123"/>
      <c r="H206" s="123"/>
      <c r="I206" s="123"/>
      <c r="J206" s="123"/>
      <c r="K206" s="123"/>
      <c r="L206" s="123"/>
      <c r="M206" s="123"/>
      <c r="N206" s="123"/>
      <c r="O206" s="123"/>
      <c r="P206" s="123"/>
      <c r="Q206" s="123"/>
      <c r="R206" s="123"/>
      <c r="S206" s="123"/>
      <c r="T206" s="150" t="str">
        <f>HYPERLINK("#X", "▲")</f>
        <v>▲</v>
      </c>
      <c r="V206" s="150" t="str">
        <f>HYPERLINK("#X", "▲")</f>
        <v>▲</v>
      </c>
      <c r="W206" s="123"/>
      <c r="X206" s="123"/>
      <c r="Y206" s="123"/>
      <c r="Z206" s="123"/>
      <c r="AA206" s="123"/>
      <c r="AB206" s="123"/>
      <c r="AC206" s="123"/>
      <c r="AD206" s="123"/>
      <c r="AE206" s="123"/>
      <c r="AF206" s="123"/>
      <c r="AG206" s="123"/>
      <c r="AH206" s="123"/>
      <c r="AI206" s="123"/>
      <c r="AJ206" s="123"/>
      <c r="AK206" s="123"/>
      <c r="AL206" s="123"/>
      <c r="AM206" s="123"/>
      <c r="AN206" s="123"/>
      <c r="AO206" s="123"/>
      <c r="AP206" s="123"/>
      <c r="AQ206" s="123"/>
      <c r="AR206" s="123"/>
      <c r="AS206" s="123"/>
      <c r="AT206" s="123"/>
      <c r="AU206" s="123"/>
      <c r="AV206" s="123"/>
      <c r="AW206" s="123"/>
      <c r="AX206" s="123"/>
    </row>
    <row r="207" spans="1:60" ht="20" customHeight="1" x14ac:dyDescent="0.2">
      <c r="P207" s="143" t="s">
        <v>117</v>
      </c>
      <c r="Q207" s="143" t="s">
        <v>117</v>
      </c>
      <c r="R207" s="143" t="s">
        <v>117</v>
      </c>
      <c r="AI207" s="160" t="s">
        <v>128</v>
      </c>
      <c r="AJ207" s="160" t="s">
        <v>128</v>
      </c>
      <c r="AK207" s="160" t="s">
        <v>128</v>
      </c>
    </row>
    <row r="208" spans="1:60" ht="20" customHeight="1" x14ac:dyDescent="0.2">
      <c r="A208" s="198" t="s">
        <v>277</v>
      </c>
      <c r="B208" s="130"/>
      <c r="C208" s="130"/>
      <c r="D208" s="130"/>
      <c r="E208" s="130"/>
      <c r="F208" s="130"/>
      <c r="G208" s="130"/>
      <c r="H208" s="130"/>
      <c r="I208" s="130"/>
      <c r="J208" s="130"/>
      <c r="K208" s="130"/>
      <c r="L208" s="130"/>
      <c r="M208" s="130"/>
      <c r="N208" s="130"/>
      <c r="O208" s="130"/>
      <c r="P208" s="131" t="s">
        <v>274</v>
      </c>
      <c r="Q208" s="130"/>
      <c r="R208" s="130"/>
      <c r="S208" s="130"/>
      <c r="T208" s="130"/>
      <c r="V208" s="130"/>
      <c r="W208" s="130"/>
      <c r="X208" s="130"/>
      <c r="Y208" s="130"/>
      <c r="Z208" s="130"/>
      <c r="AA208" s="130"/>
      <c r="AB208" s="130"/>
      <c r="AC208" s="130"/>
      <c r="AD208" s="130"/>
      <c r="AE208" s="130"/>
      <c r="AF208" s="130"/>
      <c r="AG208" s="130"/>
      <c r="AH208" s="130"/>
      <c r="AI208" s="131" t="s">
        <v>207</v>
      </c>
      <c r="AJ208" s="130"/>
      <c r="AK208" s="130"/>
      <c r="AL208" s="130"/>
      <c r="AM208" s="130"/>
      <c r="AN208" s="130"/>
      <c r="AO208" s="130"/>
      <c r="AP208" s="130"/>
      <c r="AQ208" s="130"/>
      <c r="AR208" s="130"/>
      <c r="AS208" s="130"/>
      <c r="AT208" s="130"/>
      <c r="AU208" s="130"/>
      <c r="AV208" s="130"/>
      <c r="AW208" s="130"/>
      <c r="AX208" s="130"/>
    </row>
    <row r="209" spans="1:50" ht="20" customHeight="1" x14ac:dyDescent="0.2">
      <c r="A209" s="198"/>
      <c r="B209" s="130"/>
      <c r="C209" s="130"/>
      <c r="D209" s="130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3" t="s">
        <v>275</v>
      </c>
      <c r="Q209" s="130"/>
      <c r="R209" s="130"/>
      <c r="S209" s="130"/>
      <c r="T209" s="130"/>
      <c r="V209" s="130"/>
      <c r="W209" s="130"/>
      <c r="X209" s="130"/>
      <c r="Y209" s="130"/>
      <c r="Z209" s="130"/>
      <c r="AA209" s="130"/>
      <c r="AB209" s="130"/>
      <c r="AC209" s="130"/>
      <c r="AD209" s="130"/>
      <c r="AE209" s="130"/>
      <c r="AF209" s="130"/>
      <c r="AG209" s="162" t="s">
        <v>206</v>
      </c>
      <c r="AH209" s="130"/>
      <c r="AI209" s="133" t="s">
        <v>208</v>
      </c>
      <c r="AJ209" s="130"/>
      <c r="AK209" s="130"/>
      <c r="AL209" s="130"/>
      <c r="AM209" s="130"/>
      <c r="AN209" s="130"/>
      <c r="AO209" s="130"/>
      <c r="AP209" s="130"/>
      <c r="AQ209" s="130"/>
      <c r="AR209" s="130"/>
      <c r="AS209" s="130"/>
      <c r="AT209" s="130"/>
      <c r="AU209" s="130"/>
      <c r="AV209" s="130"/>
      <c r="AW209" s="130"/>
      <c r="AX209" s="130"/>
    </row>
    <row r="210" spans="1:50" ht="20" customHeight="1" x14ac:dyDescent="0.2">
      <c r="A210" s="198"/>
      <c r="B210" s="130"/>
      <c r="C210" s="130"/>
      <c r="D210" s="130"/>
      <c r="E210" s="130"/>
      <c r="F210" s="130"/>
      <c r="G210" s="130"/>
      <c r="H210" s="130"/>
      <c r="I210" s="130"/>
      <c r="J210" s="130"/>
      <c r="K210" s="130"/>
      <c r="L210" s="130"/>
      <c r="M210" s="130"/>
      <c r="N210" s="130"/>
      <c r="O210" s="130"/>
      <c r="P210" s="138" cm="1">
        <f t="array" ref="P210:R219">1+ERF(Blueprint_ep1!P196:R205/SQRT(2))</f>
        <v>0.5797935918859084</v>
      </c>
      <c r="Q210" s="138">
        <v>0.55485648753783545</v>
      </c>
      <c r="R210" s="138">
        <v>0.71580113408667967</v>
      </c>
      <c r="S210" s="130"/>
      <c r="T210" s="130"/>
      <c r="V210" s="130"/>
      <c r="W210" s="130"/>
      <c r="X210" s="130"/>
      <c r="Y210" s="130"/>
      <c r="Z210" s="130"/>
      <c r="AA210" s="130"/>
      <c r="AB210" s="130"/>
      <c r="AC210" s="130"/>
      <c r="AD210" s="130"/>
      <c r="AE210" s="151" cm="1">
        <f t="array" ref="AE210:AG210">_xlfn.BYCOL(G_11*X_11,_xlfn.LAMBDA(_xlpm.c,SUM(_xlpm.c)))</f>
        <v>-1</v>
      </c>
      <c r="AF210" s="151">
        <v>-1</v>
      </c>
      <c r="AG210" s="151">
        <v>-0.99999999999999989</v>
      </c>
      <c r="AH210" s="137" t="s">
        <v>113</v>
      </c>
      <c r="AI210" s="138" cm="1">
        <f t="array" ref="AI210:AK219">X_11*(G_11-sumGX_11)</f>
        <v>7.5354521220142842E-2</v>
      </c>
      <c r="AJ210" s="138">
        <v>6.6168263806247685E-2</v>
      </c>
      <c r="AK210" s="138">
        <v>6.221675723487162E-2</v>
      </c>
      <c r="AL210" s="130"/>
      <c r="AM210" s="130"/>
      <c r="AN210" s="130"/>
      <c r="AO210" s="130"/>
      <c r="AP210" s="130"/>
      <c r="AQ210" s="130"/>
      <c r="AR210" s="130"/>
      <c r="AS210" s="130"/>
      <c r="AT210" s="130"/>
      <c r="AU210" s="130"/>
      <c r="AV210" s="130"/>
      <c r="AW210" s="130"/>
      <c r="AX210" s="130"/>
    </row>
    <row r="211" spans="1:50" ht="20" customHeight="1" x14ac:dyDescent="0.2">
      <c r="A211" s="198"/>
      <c r="B211" s="130"/>
      <c r="C211" s="130"/>
      <c r="D211" s="130"/>
      <c r="E211" s="130"/>
      <c r="F211" s="130"/>
      <c r="G211" s="130"/>
      <c r="H211" s="130"/>
      <c r="I211" s="130"/>
      <c r="J211" s="130"/>
      <c r="K211" s="130"/>
      <c r="L211" s="130"/>
      <c r="M211" s="130"/>
      <c r="N211" s="130"/>
      <c r="O211" s="130"/>
      <c r="P211" s="139">
        <v>1.4408150531739219</v>
      </c>
      <c r="Q211" s="139">
        <v>1.510234131263632</v>
      </c>
      <c r="R211" s="139">
        <v>1.5201702864021978</v>
      </c>
      <c r="S211" s="130"/>
      <c r="T211" s="130"/>
      <c r="V211" s="130"/>
      <c r="W211" s="130"/>
      <c r="X211" s="130"/>
      <c r="Y211" s="130"/>
      <c r="Z211" s="130"/>
      <c r="AA211" s="130"/>
      <c r="AB211" s="130"/>
      <c r="AC211" s="130"/>
      <c r="AD211" s="130"/>
      <c r="AE211" s="130"/>
      <c r="AF211" s="130"/>
      <c r="AG211" s="130"/>
      <c r="AH211" s="130"/>
      <c r="AI211" s="139">
        <v>0.13475679809557481</v>
      </c>
      <c r="AJ211" s="139">
        <v>0.13131081135725625</v>
      </c>
      <c r="AK211" s="139">
        <v>0.12126590767760737</v>
      </c>
      <c r="AL211" s="130"/>
      <c r="AM211" s="130"/>
      <c r="AN211" s="130"/>
      <c r="AO211" s="130"/>
      <c r="AP211" s="130"/>
      <c r="AQ211" s="130"/>
      <c r="AR211" s="130"/>
      <c r="AS211" s="130"/>
      <c r="AT211" s="130"/>
      <c r="AU211" s="130"/>
      <c r="AV211" s="130"/>
      <c r="AW211" s="130"/>
      <c r="AX211" s="130"/>
    </row>
    <row r="212" spans="1:50" ht="20" customHeight="1" x14ac:dyDescent="0.2">
      <c r="A212" s="198"/>
      <c r="B212" s="130"/>
      <c r="C212" s="130"/>
      <c r="D212" s="130"/>
      <c r="E212" s="130"/>
      <c r="F212" s="130"/>
      <c r="G212" s="130"/>
      <c r="H212" s="130"/>
      <c r="I212" s="130"/>
      <c r="J212" s="130"/>
      <c r="K212" s="130"/>
      <c r="L212" s="130"/>
      <c r="M212" s="130"/>
      <c r="N212" s="130"/>
      <c r="O212" s="130"/>
      <c r="P212" s="139">
        <v>0.417624613040805</v>
      </c>
      <c r="Q212" s="139">
        <v>0.87868706889657189</v>
      </c>
      <c r="R212" s="139">
        <v>1.1429746861839505</v>
      </c>
      <c r="S212" s="130"/>
      <c r="T212" s="130"/>
      <c r="V212" s="130"/>
      <c r="W212" s="130"/>
      <c r="X212" s="130"/>
      <c r="Y212" s="130"/>
      <c r="Z212" s="130"/>
      <c r="AA212" s="130"/>
      <c r="AB212" s="130"/>
      <c r="AC212" s="130"/>
      <c r="AD212" s="130"/>
      <c r="AE212" s="130"/>
      <c r="AF212" s="130"/>
      <c r="AG212" s="130"/>
      <c r="AH212" s="130"/>
      <c r="AI212" s="139">
        <v>7.4698734487100946E-2</v>
      </c>
      <c r="AJ212" s="139">
        <v>7.2890858947680756E-2</v>
      </c>
      <c r="AK212" s="139">
        <v>7.8561974444059282E-2</v>
      </c>
      <c r="AL212" s="130"/>
      <c r="AM212" s="130"/>
      <c r="AN212" s="130"/>
      <c r="AO212" s="130"/>
      <c r="AP212" s="130"/>
      <c r="AQ212" s="130"/>
      <c r="AR212" s="130"/>
      <c r="AS212" s="130"/>
      <c r="AT212" s="130"/>
      <c r="AU212" s="130"/>
      <c r="AV212" s="130"/>
      <c r="AW212" s="130"/>
      <c r="AX212" s="130"/>
    </row>
    <row r="213" spans="1:50" ht="20" customHeight="1" x14ac:dyDescent="0.2">
      <c r="A213" s="198"/>
      <c r="B213" s="130"/>
      <c r="C213" s="130"/>
      <c r="D213" s="130"/>
      <c r="E213" s="130"/>
      <c r="F213" s="130"/>
      <c r="G213" s="130"/>
      <c r="H213" s="130"/>
      <c r="I213" s="130"/>
      <c r="J213" s="130"/>
      <c r="K213" s="130"/>
      <c r="L213" s="130"/>
      <c r="M213" s="130"/>
      <c r="N213" s="130"/>
      <c r="O213" s="130"/>
      <c r="P213" s="139">
        <v>1.2299512942191775</v>
      </c>
      <c r="Q213" s="139">
        <v>0.87513482128575437</v>
      </c>
      <c r="R213" s="139">
        <v>0.83036315369679647</v>
      </c>
      <c r="S213" s="130"/>
      <c r="T213" s="130"/>
      <c r="V213" s="130"/>
      <c r="W213" s="130"/>
      <c r="X213" s="130"/>
      <c r="Y213" s="130"/>
      <c r="Z213" s="130"/>
      <c r="AA213" s="130"/>
      <c r="AB213" s="130"/>
      <c r="AC213" s="130"/>
      <c r="AD213" s="130"/>
      <c r="AE213" s="130"/>
      <c r="AF213" s="130"/>
      <c r="AG213" s="130"/>
      <c r="AH213" s="130"/>
      <c r="AI213" s="139">
        <v>0.10589839065660261</v>
      </c>
      <c r="AJ213" s="139">
        <v>7.276701344047766E-2</v>
      </c>
      <c r="AK213" s="139">
        <v>6.4843758923643205E-2</v>
      </c>
      <c r="AL213" s="130"/>
      <c r="AM213" s="130"/>
      <c r="AN213" s="130"/>
      <c r="AO213" s="130"/>
      <c r="AP213" s="130"/>
      <c r="AQ213" s="130"/>
      <c r="AR213" s="130"/>
      <c r="AS213" s="130"/>
      <c r="AT213" s="130"/>
      <c r="AU213" s="130"/>
      <c r="AV213" s="130"/>
      <c r="AW213" s="130"/>
      <c r="AX213" s="130"/>
    </row>
    <row r="214" spans="1:50" ht="20" customHeight="1" x14ac:dyDescent="0.2">
      <c r="A214" s="198"/>
      <c r="B214" s="130"/>
      <c r="C214" s="130"/>
      <c r="D214" s="130"/>
      <c r="E214" s="130"/>
      <c r="F214" s="130"/>
      <c r="G214" s="130"/>
      <c r="H214" s="130"/>
      <c r="I214" s="130"/>
      <c r="J214" s="130"/>
      <c r="K214" s="130"/>
      <c r="L214" s="130"/>
      <c r="M214" s="130"/>
      <c r="N214" s="130"/>
      <c r="O214" s="130"/>
      <c r="P214" s="139">
        <v>0.62590647051346915</v>
      </c>
      <c r="Q214" s="139">
        <v>0.77186524191951522</v>
      </c>
      <c r="R214" s="139">
        <v>0.80025459032598478</v>
      </c>
      <c r="S214" s="130"/>
      <c r="T214" s="130"/>
      <c r="V214" s="130"/>
      <c r="W214" s="130"/>
      <c r="X214" s="130"/>
      <c r="Y214" s="130"/>
      <c r="Z214" s="130"/>
      <c r="AA214" s="130"/>
      <c r="AB214" s="130"/>
      <c r="AC214" s="130"/>
      <c r="AD214" s="130"/>
      <c r="AE214" s="130"/>
      <c r="AF214" s="130"/>
      <c r="AG214" s="130"/>
      <c r="AH214" s="130"/>
      <c r="AI214" s="139">
        <v>7.5955843444930268E-2</v>
      </c>
      <c r="AJ214" s="139">
        <v>6.9694832327308276E-2</v>
      </c>
      <c r="AK214" s="139">
        <v>6.4051546873067605E-2</v>
      </c>
      <c r="AL214" s="130"/>
      <c r="AM214" s="130"/>
      <c r="AN214" s="130"/>
      <c r="AO214" s="130"/>
      <c r="AP214" s="130"/>
      <c r="AQ214" s="130"/>
      <c r="AR214" s="130"/>
      <c r="AS214" s="130"/>
      <c r="AT214" s="130"/>
      <c r="AU214" s="130"/>
      <c r="AV214" s="130"/>
      <c r="AW214" s="130"/>
      <c r="AX214" s="130"/>
    </row>
    <row r="215" spans="1:50" ht="20" customHeight="1" x14ac:dyDescent="0.2">
      <c r="A215" s="198"/>
      <c r="B215" s="130"/>
      <c r="C215" s="130"/>
      <c r="D215" s="130"/>
      <c r="E215" s="130"/>
      <c r="F215" s="130"/>
      <c r="G215" s="130"/>
      <c r="H215" s="130"/>
      <c r="I215" s="130"/>
      <c r="J215" s="130"/>
      <c r="K215" s="130"/>
      <c r="L215" s="130"/>
      <c r="M215" s="130"/>
      <c r="N215" s="130"/>
      <c r="O215" s="130"/>
      <c r="P215" s="139">
        <v>0.17749901673126312</v>
      </c>
      <c r="Q215" s="139">
        <v>0.3425463565734812</v>
      </c>
      <c r="R215" s="139">
        <v>0.41261966665774652</v>
      </c>
      <c r="S215" s="130"/>
      <c r="T215" s="130"/>
      <c r="V215" s="130"/>
      <c r="W215" s="130"/>
      <c r="X215" s="130"/>
      <c r="Y215" s="130"/>
      <c r="Z215" s="130"/>
      <c r="AA215" s="130"/>
      <c r="AB215" s="130"/>
      <c r="AC215" s="130"/>
      <c r="AD215" s="130"/>
      <c r="AE215" s="130"/>
      <c r="AF215" s="130"/>
      <c r="AG215" s="130"/>
      <c r="AH215" s="130"/>
      <c r="AI215" s="139">
        <v>-0.9215048006958666</v>
      </c>
      <c r="AJ215" s="139">
        <v>6.6251536618417803E-2</v>
      </c>
      <c r="AK215" s="139">
        <v>5.9853468375976174E-2</v>
      </c>
      <c r="AL215" s="130"/>
      <c r="AM215" s="130"/>
      <c r="AN215" s="130"/>
      <c r="AO215" s="130"/>
      <c r="AP215" s="130"/>
      <c r="AQ215" s="130"/>
      <c r="AR215" s="130"/>
      <c r="AS215" s="130"/>
      <c r="AT215" s="130"/>
      <c r="AU215" s="130"/>
      <c r="AV215" s="130"/>
      <c r="AW215" s="130"/>
      <c r="AX215" s="130"/>
    </row>
    <row r="216" spans="1:50" ht="20" customHeight="1" x14ac:dyDescent="0.2">
      <c r="A216" s="198"/>
      <c r="B216" s="130"/>
      <c r="C216" s="130"/>
      <c r="D216" s="130"/>
      <c r="E216" s="130"/>
      <c r="F216" s="130"/>
      <c r="G216" s="130"/>
      <c r="H216" s="130"/>
      <c r="I216" s="130"/>
      <c r="J216" s="130"/>
      <c r="K216" s="130"/>
      <c r="L216" s="130"/>
      <c r="M216" s="130"/>
      <c r="N216" s="130"/>
      <c r="O216" s="130"/>
      <c r="P216" s="139">
        <v>0.33992614527244003</v>
      </c>
      <c r="Q216" s="139">
        <v>0.51312835632460785</v>
      </c>
      <c r="R216" s="139">
        <v>0.67288059038128467</v>
      </c>
      <c r="S216" s="130"/>
      <c r="T216" s="130"/>
      <c r="V216" s="130"/>
      <c r="W216" s="130"/>
      <c r="X216" s="130"/>
      <c r="Y216" s="130"/>
      <c r="Z216" s="130"/>
      <c r="AA216" s="130"/>
      <c r="AB216" s="130"/>
      <c r="AC216" s="130"/>
      <c r="AD216" s="130"/>
      <c r="AE216" s="130"/>
      <c r="AF216" s="130"/>
      <c r="AG216" s="130"/>
      <c r="AH216" s="130"/>
      <c r="AI216" s="139">
        <v>7.5227596005776345E-2</v>
      </c>
      <c r="AJ216" s="139">
        <v>6.5906398506944006E-2</v>
      </c>
      <c r="AK216" s="139">
        <v>6.1490522667687633E-2</v>
      </c>
      <c r="AL216" s="130"/>
      <c r="AM216" s="130"/>
      <c r="AN216" s="130"/>
      <c r="AO216" s="130"/>
      <c r="AP216" s="130"/>
      <c r="AQ216" s="130"/>
      <c r="AR216" s="130"/>
      <c r="AS216" s="130"/>
      <c r="AT216" s="130"/>
      <c r="AU216" s="130"/>
      <c r="AV216" s="130"/>
      <c r="AW216" s="130"/>
      <c r="AX216" s="130"/>
    </row>
    <row r="217" spans="1:50" ht="20" customHeight="1" x14ac:dyDescent="0.2">
      <c r="A217" s="198"/>
      <c r="B217" s="130"/>
      <c r="C217" s="130"/>
      <c r="D217" s="130"/>
      <c r="E217" s="130"/>
      <c r="F217" s="130"/>
      <c r="G217" s="130"/>
      <c r="H217" s="130"/>
      <c r="I217" s="130"/>
      <c r="J217" s="130"/>
      <c r="K217" s="130"/>
      <c r="L217" s="130"/>
      <c r="M217" s="130"/>
      <c r="N217" s="130"/>
      <c r="O217" s="130"/>
      <c r="P217" s="139">
        <v>0.98879869766904049</v>
      </c>
      <c r="Q217" s="139">
        <v>0.5917695256087927</v>
      </c>
      <c r="R217" s="139">
        <v>0.42669612141513813</v>
      </c>
      <c r="S217" s="130"/>
      <c r="T217" s="130"/>
      <c r="V217" s="130"/>
      <c r="W217" s="130"/>
      <c r="X217" s="130"/>
      <c r="Y217" s="130"/>
      <c r="Z217" s="130"/>
      <c r="AA217" s="130"/>
      <c r="AB217" s="130"/>
      <c r="AC217" s="130"/>
      <c r="AD217" s="130"/>
      <c r="AE217" s="130"/>
      <c r="AF217" s="130"/>
      <c r="AG217" s="130"/>
      <c r="AH217" s="130"/>
      <c r="AI217" s="139">
        <v>8.7862651503693379E-2</v>
      </c>
      <c r="AJ217" s="139">
        <v>6.6509629918977756E-2</v>
      </c>
      <c r="AK217" s="139">
        <v>5.9820357576364891E-2</v>
      </c>
      <c r="AL217" s="130"/>
      <c r="AM217" s="130"/>
      <c r="AN217" s="130"/>
      <c r="AO217" s="130"/>
      <c r="AP217" s="130"/>
      <c r="AQ217" s="130"/>
      <c r="AR217" s="130"/>
      <c r="AS217" s="130"/>
      <c r="AT217" s="130"/>
      <c r="AU217" s="130"/>
      <c r="AV217" s="130"/>
      <c r="AW217" s="130"/>
      <c r="AX217" s="130"/>
    </row>
    <row r="218" spans="1:50" ht="20" customHeight="1" x14ac:dyDescent="0.2">
      <c r="A218" s="198"/>
      <c r="B218" s="130"/>
      <c r="C218" s="130"/>
      <c r="D218" s="130"/>
      <c r="E218" s="130"/>
      <c r="F218" s="130"/>
      <c r="G218" s="130"/>
      <c r="H218" s="130"/>
      <c r="I218" s="130"/>
      <c r="J218" s="130"/>
      <c r="K218" s="130"/>
      <c r="L218" s="130"/>
      <c r="M218" s="130"/>
      <c r="N218" s="130"/>
      <c r="O218" s="130"/>
      <c r="P218" s="139">
        <v>1.6029389393896492</v>
      </c>
      <c r="Q218" s="139">
        <v>1.7096171033789611</v>
      </c>
      <c r="R218" s="139">
        <v>1.7151495933846528</v>
      </c>
      <c r="S218" s="130"/>
      <c r="T218" s="130"/>
      <c r="V218" s="130"/>
      <c r="W218" s="130"/>
      <c r="X218" s="130"/>
      <c r="Y218" s="130"/>
      <c r="Z218" s="130"/>
      <c r="AA218" s="130"/>
      <c r="AB218" s="130"/>
      <c r="AC218" s="130"/>
      <c r="AD218" s="130"/>
      <c r="AE218" s="130"/>
      <c r="AF218" s="130"/>
      <c r="AG218" s="130"/>
      <c r="AH218" s="130"/>
      <c r="AI218" s="139">
        <v>0.17441990258260648</v>
      </c>
      <c r="AJ218" s="139">
        <v>-0.80755784313925594</v>
      </c>
      <c r="AK218" s="139">
        <v>-0.82265583122368824</v>
      </c>
      <c r="AL218" s="130"/>
      <c r="AM218" s="130"/>
      <c r="AN218" s="130"/>
      <c r="AO218" s="130"/>
      <c r="AP218" s="130"/>
      <c r="AQ218" s="130"/>
      <c r="AR218" s="130"/>
      <c r="AS218" s="130"/>
      <c r="AT218" s="130"/>
      <c r="AU218" s="130"/>
      <c r="AV218" s="130"/>
      <c r="AW218" s="130"/>
      <c r="AX218" s="130"/>
    </row>
    <row r="219" spans="1:50" ht="20" customHeight="1" x14ac:dyDescent="0.2">
      <c r="A219" s="198"/>
      <c r="B219" s="130"/>
      <c r="C219" s="130"/>
      <c r="D219" s="130"/>
      <c r="E219" s="130"/>
      <c r="F219" s="130"/>
      <c r="G219" s="130"/>
      <c r="H219" s="130"/>
      <c r="I219" s="130"/>
      <c r="J219" s="130"/>
      <c r="K219" s="130"/>
      <c r="L219" s="130"/>
      <c r="M219" s="130"/>
      <c r="N219" s="130"/>
      <c r="O219" s="130"/>
      <c r="P219" s="140">
        <v>1.3290125867012599</v>
      </c>
      <c r="Q219" s="140">
        <v>1.7172861397391999</v>
      </c>
      <c r="R219" s="140">
        <v>1.8319687868542758</v>
      </c>
      <c r="S219" s="130"/>
      <c r="T219" s="130"/>
      <c r="V219" s="130"/>
      <c r="W219" s="130"/>
      <c r="X219" s="130"/>
      <c r="Y219" s="130"/>
      <c r="Z219" s="130"/>
      <c r="AA219" s="130"/>
      <c r="AB219" s="130"/>
      <c r="AC219" s="130"/>
      <c r="AD219" s="130"/>
      <c r="AE219" s="130"/>
      <c r="AF219" s="130"/>
      <c r="AG219" s="130"/>
      <c r="AH219" s="130"/>
      <c r="AI219" s="140">
        <v>0.11733036269943874</v>
      </c>
      <c r="AJ219" s="140">
        <v>0.19605849821594568</v>
      </c>
      <c r="AK219" s="140">
        <v>0.25055153745041037</v>
      </c>
      <c r="AL219" s="130"/>
      <c r="AM219" s="130"/>
      <c r="AN219" s="130"/>
      <c r="AO219" s="130"/>
      <c r="AP219" s="130"/>
      <c r="AQ219" s="130"/>
      <c r="AR219" s="130"/>
      <c r="AS219" s="130"/>
      <c r="AT219" s="130"/>
      <c r="AU219" s="130"/>
      <c r="AV219" s="130"/>
      <c r="AW219" s="130"/>
      <c r="AX219" s="130"/>
    </row>
    <row r="220" spans="1:50" ht="20" customHeight="1" x14ac:dyDescent="0.2">
      <c r="A220" s="198"/>
      <c r="B220" s="130"/>
      <c r="C220" s="130"/>
      <c r="D220" s="130"/>
      <c r="E220" s="130"/>
      <c r="F220" s="130"/>
      <c r="G220" s="130"/>
      <c r="H220" s="130"/>
      <c r="I220" s="130"/>
      <c r="J220" s="130"/>
      <c r="K220" s="130"/>
      <c r="L220" s="130"/>
      <c r="M220" s="130"/>
      <c r="N220" s="130"/>
      <c r="O220" s="130"/>
      <c r="P220" s="133" t="s">
        <v>276</v>
      </c>
      <c r="Q220" s="130"/>
      <c r="R220" s="130"/>
      <c r="S220" s="130"/>
      <c r="T220" s="130"/>
      <c r="V220" s="130"/>
      <c r="W220" s="130"/>
      <c r="X220" s="130"/>
      <c r="Y220" s="130"/>
      <c r="Z220" s="130"/>
      <c r="AA220" s="130"/>
      <c r="AB220" s="130"/>
      <c r="AC220" s="130"/>
      <c r="AD220" s="130"/>
      <c r="AE220" s="130"/>
      <c r="AF220" s="130"/>
      <c r="AG220" s="130"/>
      <c r="AH220" s="130"/>
      <c r="AI220" s="130"/>
      <c r="AJ220" s="130"/>
      <c r="AK220" s="130"/>
      <c r="AL220" s="130"/>
      <c r="AM220" s="130"/>
      <c r="AN220" s="130"/>
      <c r="AO220" s="130"/>
      <c r="AP220" s="130"/>
      <c r="AQ220" s="130"/>
      <c r="AR220" s="130"/>
      <c r="AS220" s="130"/>
      <c r="AT220" s="130"/>
      <c r="AU220" s="130"/>
      <c r="AV220" s="130"/>
      <c r="AW220" s="130"/>
      <c r="AX220" s="130"/>
    </row>
    <row r="221" spans="1:50" ht="20" customHeight="1" x14ac:dyDescent="0.2">
      <c r="A221" s="198"/>
      <c r="B221" s="130"/>
      <c r="C221" s="130"/>
      <c r="D221" s="130"/>
      <c r="E221" s="130"/>
      <c r="F221" s="130"/>
      <c r="G221" s="130"/>
      <c r="H221" s="130"/>
      <c r="I221" s="130"/>
      <c r="J221" s="130"/>
      <c r="K221" s="130"/>
      <c r="L221" s="130"/>
      <c r="M221" s="130"/>
      <c r="N221" s="130"/>
      <c r="O221" s="130"/>
      <c r="P221" s="138" cm="1">
        <f t="array" ref="P221:R230">0.5*Blueprint_ep1!P196:R205*Blueprint_ep1!P210:R219</f>
        <v>-0.1605118677765526</v>
      </c>
      <c r="Q221" s="138">
        <v>-0.16382096327923748</v>
      </c>
      <c r="R221" s="138">
        <v>-0.13030306623372467</v>
      </c>
      <c r="S221" s="130"/>
      <c r="T221" s="130"/>
      <c r="V221" s="130"/>
      <c r="W221" s="130"/>
      <c r="X221" s="130"/>
      <c r="Y221" s="130"/>
      <c r="Z221" s="130"/>
      <c r="AA221" s="130"/>
      <c r="AB221" s="130"/>
      <c r="AC221" s="130"/>
      <c r="AD221" s="130"/>
      <c r="AE221" s="130"/>
      <c r="AF221" s="130"/>
      <c r="AG221" s="130"/>
      <c r="AH221" s="130"/>
      <c r="AI221" s="130"/>
      <c r="AJ221" s="130"/>
      <c r="AK221" s="130"/>
      <c r="AL221" s="130"/>
      <c r="AM221" s="130"/>
      <c r="AN221" s="130"/>
      <c r="AO221" s="130"/>
      <c r="AP221" s="130"/>
      <c r="AQ221" s="130"/>
      <c r="AR221" s="130"/>
      <c r="AS221" s="130"/>
      <c r="AT221" s="130"/>
      <c r="AU221" s="130"/>
      <c r="AV221" s="130"/>
      <c r="AW221" s="130"/>
      <c r="AX221" s="130"/>
    </row>
    <row r="222" spans="1:50" ht="20" customHeight="1" x14ac:dyDescent="0.2">
      <c r="A222" s="198"/>
      <c r="B222" s="130"/>
      <c r="C222" s="130"/>
      <c r="D222" s="130"/>
      <c r="E222" s="130"/>
      <c r="F222" s="130"/>
      <c r="G222" s="130"/>
      <c r="H222" s="130"/>
      <c r="I222" s="130"/>
      <c r="J222" s="130"/>
      <c r="K222" s="130"/>
      <c r="L222" s="130"/>
      <c r="M222" s="130"/>
      <c r="N222" s="130"/>
      <c r="O222" s="130"/>
      <c r="P222" s="139">
        <v>0.42075586423487293</v>
      </c>
      <c r="Q222" s="139">
        <v>0.52154520621999423</v>
      </c>
      <c r="R222" s="139">
        <v>0.53705827993750832</v>
      </c>
      <c r="S222" s="130"/>
      <c r="T222" s="130"/>
      <c r="V222" s="130"/>
      <c r="W222" s="130"/>
      <c r="X222" s="130"/>
      <c r="Y222" s="130"/>
      <c r="Z222" s="130"/>
      <c r="AA222" s="130"/>
      <c r="AB222" s="130"/>
      <c r="AC222" s="130"/>
      <c r="AD222" s="130"/>
      <c r="AE222" s="130"/>
      <c r="AF222" s="130"/>
      <c r="AG222" s="130"/>
      <c r="AH222" s="130"/>
      <c r="AI222" s="130"/>
      <c r="AJ222" s="130"/>
      <c r="AK222" s="130"/>
      <c r="AL222" s="130"/>
      <c r="AM222" s="130"/>
      <c r="AN222" s="130"/>
      <c r="AO222" s="130"/>
      <c r="AP222" s="130"/>
      <c r="AQ222" s="130"/>
      <c r="AR222" s="130"/>
      <c r="AS222" s="130"/>
      <c r="AT222" s="130"/>
      <c r="AU222" s="130"/>
      <c r="AV222" s="130"/>
      <c r="AW222" s="130"/>
      <c r="AX222" s="130"/>
    </row>
    <row r="223" spans="1:50" ht="20" customHeight="1" x14ac:dyDescent="0.2">
      <c r="A223" s="198"/>
      <c r="B223" s="130"/>
      <c r="C223" s="130"/>
      <c r="D223" s="130"/>
      <c r="E223" s="130"/>
      <c r="F223" s="130"/>
      <c r="G223" s="130"/>
      <c r="H223" s="130"/>
      <c r="I223" s="130"/>
      <c r="J223" s="130"/>
      <c r="K223" s="130"/>
      <c r="L223" s="130"/>
      <c r="M223" s="130"/>
      <c r="N223" s="130"/>
      <c r="O223" s="130"/>
      <c r="P223" s="139">
        <v>-0.16925264324569314</v>
      </c>
      <c r="Q223" s="139">
        <v>-6.7058673088507645E-2</v>
      </c>
      <c r="R223" s="139">
        <v>0.10296035805855408</v>
      </c>
      <c r="S223" s="130"/>
      <c r="T223" s="130"/>
      <c r="V223" s="130"/>
      <c r="W223" s="130"/>
      <c r="X223" s="130"/>
      <c r="Y223" s="130"/>
      <c r="Z223" s="130"/>
      <c r="AA223" s="130"/>
      <c r="AB223" s="130"/>
      <c r="AC223" s="130"/>
      <c r="AD223" s="130"/>
      <c r="AE223" s="130"/>
      <c r="AF223" s="130"/>
      <c r="AG223" s="130"/>
      <c r="AH223" s="130"/>
      <c r="AI223" s="130"/>
      <c r="AJ223" s="130"/>
      <c r="AK223" s="130"/>
      <c r="AL223" s="130"/>
      <c r="AM223" s="130"/>
      <c r="AN223" s="130"/>
      <c r="AO223" s="130"/>
      <c r="AP223" s="130"/>
      <c r="AQ223" s="130"/>
      <c r="AR223" s="130"/>
      <c r="AS223" s="130"/>
      <c r="AT223" s="130"/>
      <c r="AU223" s="130"/>
      <c r="AV223" s="130"/>
      <c r="AW223" s="130"/>
      <c r="AX223" s="130"/>
    </row>
    <row r="224" spans="1:50" ht="20" customHeight="1" x14ac:dyDescent="0.2">
      <c r="A224" s="198"/>
      <c r="B224" s="130"/>
      <c r="C224" s="130"/>
      <c r="D224" s="130"/>
      <c r="E224" s="130"/>
      <c r="F224" s="130"/>
      <c r="G224" s="130"/>
      <c r="H224" s="130"/>
      <c r="I224" s="130"/>
      <c r="J224" s="130"/>
      <c r="K224" s="130"/>
      <c r="L224" s="130"/>
      <c r="M224" s="130"/>
      <c r="N224" s="130"/>
      <c r="O224" s="130"/>
      <c r="P224" s="139">
        <v>0.17976426169982532</v>
      </c>
      <c r="Q224" s="139">
        <v>-6.8759172141750702E-2</v>
      </c>
      <c r="R224" s="139">
        <v>-8.8946771132864491E-2</v>
      </c>
      <c r="S224" s="130"/>
      <c r="T224" s="130"/>
      <c r="V224" s="130"/>
      <c r="W224" s="130"/>
      <c r="X224" s="130"/>
      <c r="Y224" s="130"/>
      <c r="Z224" s="130"/>
      <c r="AA224" s="130"/>
      <c r="AB224" s="130"/>
      <c r="AC224" s="130"/>
      <c r="AD224" s="130"/>
      <c r="AE224" s="130"/>
      <c r="AF224" s="130"/>
      <c r="AG224" s="130"/>
      <c r="AH224" s="130"/>
      <c r="AI224" s="130"/>
      <c r="AJ224" s="130"/>
      <c r="AK224" s="130"/>
      <c r="AL224" s="130"/>
      <c r="AM224" s="130"/>
      <c r="AN224" s="130"/>
      <c r="AO224" s="130"/>
      <c r="AP224" s="130"/>
      <c r="AQ224" s="130"/>
      <c r="AR224" s="130"/>
      <c r="AS224" s="130"/>
      <c r="AT224" s="130"/>
      <c r="AU224" s="130"/>
      <c r="AV224" s="130"/>
      <c r="AW224" s="130"/>
      <c r="AX224" s="130"/>
    </row>
    <row r="225" spans="1:50" ht="20" customHeight="1" x14ac:dyDescent="0.2">
      <c r="A225" s="198"/>
      <c r="B225" s="130"/>
      <c r="C225" s="130"/>
      <c r="D225" s="130"/>
      <c r="E225" s="130"/>
      <c r="F225" s="130"/>
      <c r="G225" s="130"/>
      <c r="H225" s="130"/>
      <c r="I225" s="130"/>
      <c r="J225" s="130"/>
      <c r="K225" s="130"/>
      <c r="L225" s="130"/>
      <c r="M225" s="130"/>
      <c r="N225" s="130"/>
      <c r="O225" s="130"/>
      <c r="P225" s="139">
        <v>-0.15256362983792432</v>
      </c>
      <c r="Q225" s="139">
        <v>-0.11189573920439577</v>
      </c>
      <c r="R225" s="139">
        <v>-0.10123925954075123</v>
      </c>
      <c r="S225" s="130"/>
      <c r="T225" s="130"/>
      <c r="V225" s="130"/>
      <c r="W225" s="130"/>
      <c r="X225" s="130"/>
      <c r="Y225" s="130"/>
      <c r="Z225" s="130"/>
      <c r="AA225" s="130"/>
      <c r="AB225" s="130"/>
      <c r="AC225" s="130"/>
      <c r="AD225" s="130"/>
      <c r="AE225" s="130"/>
      <c r="AF225" s="130"/>
      <c r="AG225" s="130"/>
      <c r="AH225" s="130"/>
      <c r="AI225" s="130"/>
      <c r="AJ225" s="130"/>
      <c r="AK225" s="130"/>
      <c r="AL225" s="130"/>
      <c r="AM225" s="130"/>
      <c r="AN225" s="130"/>
      <c r="AO225" s="130"/>
      <c r="AP225" s="130"/>
      <c r="AQ225" s="130"/>
      <c r="AR225" s="130"/>
      <c r="AS225" s="130"/>
      <c r="AT225" s="130"/>
      <c r="AU225" s="130"/>
      <c r="AV225" s="130"/>
      <c r="AW225" s="130"/>
      <c r="AX225" s="130"/>
    </row>
    <row r="226" spans="1:50" ht="20" customHeight="1" x14ac:dyDescent="0.2">
      <c r="A226" s="198"/>
      <c r="B226" s="130"/>
      <c r="C226" s="130"/>
      <c r="D226" s="130"/>
      <c r="E226" s="130"/>
      <c r="F226" s="130"/>
      <c r="G226" s="130"/>
      <c r="H226" s="130"/>
      <c r="I226" s="130"/>
      <c r="J226" s="130"/>
      <c r="K226" s="130"/>
      <c r="L226" s="130"/>
      <c r="M226" s="130"/>
      <c r="N226" s="130"/>
      <c r="O226" s="130"/>
      <c r="P226" s="139">
        <v>-0.11967832641361759</v>
      </c>
      <c r="Q226" s="139">
        <v>-0.16256325373912292</v>
      </c>
      <c r="R226" s="139">
        <v>-0.16902805714654809</v>
      </c>
      <c r="S226" s="130"/>
      <c r="T226" s="130"/>
      <c r="V226" s="130"/>
      <c r="W226" s="130"/>
      <c r="X226" s="130"/>
      <c r="Y226" s="130"/>
      <c r="Z226" s="130"/>
      <c r="AA226" s="130"/>
      <c r="AB226" s="130"/>
      <c r="AC226" s="130"/>
      <c r="AD226" s="130"/>
      <c r="AE226" s="130"/>
      <c r="AF226" s="130"/>
      <c r="AG226" s="130"/>
      <c r="AH226" s="130"/>
      <c r="AI226" s="130"/>
      <c r="AJ226" s="130"/>
      <c r="AK226" s="130"/>
      <c r="AL226" s="130"/>
      <c r="AM226" s="130"/>
      <c r="AN226" s="130"/>
      <c r="AO226" s="130"/>
      <c r="AP226" s="130"/>
      <c r="AQ226" s="130"/>
      <c r="AR226" s="130"/>
      <c r="AS226" s="130"/>
      <c r="AT226" s="130"/>
      <c r="AU226" s="130"/>
      <c r="AV226" s="130"/>
      <c r="AW226" s="130"/>
      <c r="AX226" s="130"/>
    </row>
    <row r="227" spans="1:50" ht="20" customHeight="1" x14ac:dyDescent="0.2">
      <c r="A227" s="198"/>
      <c r="B227" s="130"/>
      <c r="C227" s="130"/>
      <c r="D227" s="130"/>
      <c r="E227" s="130"/>
      <c r="F227" s="130"/>
      <c r="G227" s="130"/>
      <c r="H227" s="130"/>
      <c r="I227" s="130"/>
      <c r="J227" s="130"/>
      <c r="K227" s="130"/>
      <c r="L227" s="130"/>
      <c r="M227" s="130"/>
      <c r="N227" s="130"/>
      <c r="O227" s="130"/>
      <c r="P227" s="139">
        <v>-0.16219766216919176</v>
      </c>
      <c r="Q227" s="139">
        <v>-0.16778638159430054</v>
      </c>
      <c r="R227" s="139">
        <v>-0.14204437864259592</v>
      </c>
      <c r="S227" s="130"/>
      <c r="T227" s="130"/>
      <c r="V227" s="130"/>
      <c r="W227" s="130"/>
      <c r="X227" s="130"/>
      <c r="Y227" s="130"/>
      <c r="Z227" s="130"/>
      <c r="AA227" s="130"/>
      <c r="AB227" s="130"/>
      <c r="AC227" s="130"/>
      <c r="AD227" s="130"/>
      <c r="AE227" s="130"/>
      <c r="AF227" s="130"/>
      <c r="AG227" s="130"/>
      <c r="AH227" s="130"/>
      <c r="AI227" s="130"/>
      <c r="AJ227" s="130"/>
      <c r="AK227" s="130"/>
      <c r="AL227" s="130"/>
      <c r="AM227" s="130"/>
      <c r="AN227" s="130"/>
      <c r="AO227" s="130"/>
      <c r="AP227" s="130"/>
      <c r="AQ227" s="130"/>
      <c r="AR227" s="130"/>
      <c r="AS227" s="130"/>
      <c r="AT227" s="130"/>
      <c r="AU227" s="130"/>
      <c r="AV227" s="130"/>
      <c r="AW227" s="130"/>
      <c r="AX227" s="130"/>
    </row>
    <row r="228" spans="1:50" ht="20" customHeight="1" x14ac:dyDescent="0.2">
      <c r="A228" s="198"/>
      <c r="B228" s="130"/>
      <c r="C228" s="130"/>
      <c r="D228" s="130"/>
      <c r="E228" s="130"/>
      <c r="F228" s="130"/>
      <c r="G228" s="130"/>
      <c r="H228" s="130"/>
      <c r="I228" s="130"/>
      <c r="J228" s="130"/>
      <c r="K228" s="130"/>
      <c r="L228" s="130"/>
      <c r="M228" s="130"/>
      <c r="N228" s="130"/>
      <c r="O228" s="130"/>
      <c r="P228" s="139">
        <v>-6.9409771428800239E-3</v>
      </c>
      <c r="Q228" s="139">
        <v>-0.15867516458731029</v>
      </c>
      <c r="R228" s="139">
        <v>-0.16958140789292331</v>
      </c>
      <c r="S228" s="130"/>
      <c r="T228" s="130"/>
      <c r="V228" s="130"/>
      <c r="W228" s="130"/>
      <c r="X228" s="130"/>
      <c r="Y228" s="130"/>
      <c r="Z228" s="130"/>
      <c r="AA228" s="130"/>
      <c r="AB228" s="130"/>
      <c r="AC228" s="130"/>
      <c r="AD228" s="130"/>
      <c r="AE228" s="130"/>
      <c r="AF228" s="130"/>
      <c r="AG228" s="130"/>
      <c r="AH228" s="130"/>
      <c r="AI228" s="130"/>
      <c r="AJ228" s="130"/>
      <c r="AK228" s="130"/>
      <c r="AL228" s="130"/>
      <c r="AM228" s="130"/>
      <c r="AN228" s="130"/>
      <c r="AO228" s="130"/>
      <c r="AP228" s="130"/>
      <c r="AQ228" s="130"/>
      <c r="AR228" s="130"/>
      <c r="AS228" s="130"/>
      <c r="AT228" s="130"/>
      <c r="AU228" s="130"/>
      <c r="AV228" s="130"/>
      <c r="AW228" s="130"/>
      <c r="AX228" s="130"/>
    </row>
    <row r="229" spans="1:50" ht="20" customHeight="1" x14ac:dyDescent="0.2">
      <c r="A229" s="198"/>
      <c r="B229" s="130"/>
      <c r="C229" s="130"/>
      <c r="D229" s="130"/>
      <c r="E229" s="130"/>
      <c r="F229" s="130"/>
      <c r="G229" s="130"/>
      <c r="H229" s="130"/>
      <c r="I229" s="130"/>
      <c r="J229" s="130"/>
      <c r="K229" s="130"/>
      <c r="L229" s="130"/>
      <c r="M229" s="130"/>
      <c r="N229" s="130"/>
      <c r="O229" s="130"/>
      <c r="P229" s="139">
        <v>0.67874983130620459</v>
      </c>
      <c r="Q229" s="139">
        <v>0.90377371215649283</v>
      </c>
      <c r="R229" s="139">
        <v>0.91716486231337668</v>
      </c>
      <c r="S229" s="130"/>
      <c r="T229" s="130"/>
      <c r="V229" s="130"/>
      <c r="W229" s="130"/>
      <c r="X229" s="130"/>
      <c r="Y229" s="130"/>
      <c r="Z229" s="130"/>
      <c r="AA229" s="130"/>
      <c r="AB229" s="130"/>
      <c r="AC229" s="130"/>
      <c r="AD229" s="130"/>
      <c r="AE229" s="130"/>
      <c r="AF229" s="130"/>
      <c r="AG229" s="130"/>
      <c r="AH229" s="130"/>
      <c r="AI229" s="130"/>
      <c r="AJ229" s="130"/>
      <c r="AK229" s="130"/>
      <c r="AL229" s="130"/>
      <c r="AM229" s="130"/>
      <c r="AN229" s="130"/>
      <c r="AO229" s="130"/>
      <c r="AP229" s="130"/>
      <c r="AQ229" s="130"/>
      <c r="AR229" s="130"/>
      <c r="AS229" s="130"/>
      <c r="AT229" s="130"/>
      <c r="AU229" s="130"/>
      <c r="AV229" s="130"/>
      <c r="AW229" s="130"/>
      <c r="AX229" s="130"/>
    </row>
    <row r="230" spans="1:50" ht="20" customHeight="1" x14ac:dyDescent="0.2">
      <c r="A230" s="198"/>
      <c r="B230" s="130"/>
      <c r="C230" s="130"/>
      <c r="D230" s="130"/>
      <c r="E230" s="130"/>
      <c r="F230" s="130"/>
      <c r="G230" s="130"/>
      <c r="H230" s="130"/>
      <c r="I230" s="130"/>
      <c r="J230" s="130"/>
      <c r="K230" s="130"/>
      <c r="L230" s="130"/>
      <c r="M230" s="130"/>
      <c r="N230" s="130"/>
      <c r="O230" s="130"/>
      <c r="P230" s="140">
        <v>0.28227777473641552</v>
      </c>
      <c r="Q230" s="140">
        <v>0.92239116240880259</v>
      </c>
      <c r="R230" s="140">
        <v>1.2627371990731269</v>
      </c>
      <c r="S230" s="130"/>
      <c r="T230" s="141" t="str">
        <f>HYPERLINK("#Blueprint!torchcode", "&lt;/&gt;")</f>
        <v>&lt;/&gt;</v>
      </c>
      <c r="V230" s="141" t="str">
        <f>HYPERLINK("#Blueprint!torchcode", "&lt;/&gt;")</f>
        <v>&lt;/&gt;</v>
      </c>
      <c r="W230" s="130"/>
      <c r="X230" s="130"/>
      <c r="Y230" s="130"/>
      <c r="Z230" s="130"/>
      <c r="AA230" s="130"/>
      <c r="AB230" s="130"/>
      <c r="AC230" s="130"/>
      <c r="AD230" s="130"/>
      <c r="AE230" s="130"/>
      <c r="AF230" s="130"/>
      <c r="AG230" s="130"/>
      <c r="AH230" s="130"/>
      <c r="AI230" s="130"/>
      <c r="AJ230" s="130"/>
      <c r="AK230" s="130"/>
      <c r="AL230" s="130"/>
      <c r="AM230" s="130"/>
      <c r="AN230" s="130"/>
      <c r="AO230" s="130"/>
      <c r="AP230" s="130"/>
      <c r="AQ230" s="130"/>
      <c r="AR230" s="130"/>
      <c r="AS230" s="130"/>
      <c r="AT230" s="130"/>
      <c r="AU230" s="130"/>
      <c r="AV230" s="130"/>
      <c r="AW230" s="130"/>
      <c r="AX230" s="130"/>
    </row>
    <row r="231" spans="1:50" ht="20" customHeight="1" x14ac:dyDescent="0.2">
      <c r="A231" s="198"/>
      <c r="B231" s="130"/>
      <c r="C231" s="130"/>
      <c r="D231" s="130"/>
      <c r="E231" s="130"/>
      <c r="F231" s="130"/>
      <c r="G231" s="130"/>
      <c r="H231" s="130"/>
      <c r="I231" s="130"/>
      <c r="J231" s="130"/>
      <c r="K231" s="130"/>
      <c r="L231" s="130"/>
      <c r="M231" s="130"/>
      <c r="N231" s="130"/>
      <c r="O231" s="130"/>
      <c r="P231" s="130"/>
      <c r="Q231" s="130"/>
      <c r="R231" s="130"/>
      <c r="S231" s="130"/>
      <c r="T231" s="142" t="str">
        <f>HYPERLINK("#X", "▲")</f>
        <v>▲</v>
      </c>
      <c r="V231" s="142" t="str">
        <f>HYPERLINK("#X", "▲")</f>
        <v>▲</v>
      </c>
      <c r="W231" s="130"/>
      <c r="X231" s="130"/>
      <c r="Y231" s="130"/>
      <c r="Z231" s="130"/>
      <c r="AA231" s="130"/>
      <c r="AB231" s="130"/>
      <c r="AC231" s="130"/>
      <c r="AD231" s="130"/>
      <c r="AE231" s="130"/>
      <c r="AF231" s="130"/>
      <c r="AG231" s="130"/>
      <c r="AH231" s="130"/>
      <c r="AI231" s="130"/>
      <c r="AJ231" s="130"/>
      <c r="AK231" s="130"/>
      <c r="AL231" s="130"/>
      <c r="AM231" s="130"/>
      <c r="AN231" s="130"/>
      <c r="AO231" s="130"/>
      <c r="AP231" s="130"/>
      <c r="AQ231" s="130"/>
      <c r="AR231" s="130"/>
      <c r="AS231" s="130"/>
      <c r="AT231" s="130"/>
      <c r="AU231" s="130"/>
      <c r="AV231" s="130"/>
      <c r="AW231" s="130"/>
      <c r="AX231" s="130"/>
    </row>
    <row r="232" spans="1:50" ht="20" customHeight="1" x14ac:dyDescent="0.2">
      <c r="P232" s="143" t="s">
        <v>117</v>
      </c>
      <c r="Q232" s="143" t="s">
        <v>117</v>
      </c>
      <c r="R232" s="143" t="s">
        <v>117</v>
      </c>
      <c r="AI232" s="160" t="s">
        <v>128</v>
      </c>
      <c r="AJ232" s="160" t="s">
        <v>128</v>
      </c>
      <c r="AK232" s="160" t="s">
        <v>128</v>
      </c>
    </row>
    <row r="233" spans="1:50" ht="20" customHeight="1" x14ac:dyDescent="0.2">
      <c r="A233" s="199" t="s">
        <v>198</v>
      </c>
      <c r="B233" s="123"/>
      <c r="C233" s="123"/>
      <c r="D233" s="123"/>
      <c r="E233" s="123"/>
      <c r="F233" s="123"/>
      <c r="G233" s="123"/>
      <c r="H233" s="123"/>
      <c r="I233" s="123"/>
      <c r="J233" s="123"/>
      <c r="K233" s="123"/>
      <c r="L233" s="123"/>
      <c r="M233" s="123"/>
      <c r="N233" s="123"/>
      <c r="O233" s="123"/>
      <c r="P233" s="144" t="s">
        <v>195</v>
      </c>
      <c r="Q233" s="123"/>
      <c r="R233" s="123"/>
      <c r="S233" s="123"/>
      <c r="T233" s="123"/>
      <c r="V233" s="123"/>
      <c r="W233" s="123"/>
      <c r="X233" s="123"/>
      <c r="Y233" s="123"/>
      <c r="Z233" s="123"/>
      <c r="AA233" s="123"/>
      <c r="AB233" s="123"/>
      <c r="AC233" s="123"/>
      <c r="AD233" s="123"/>
      <c r="AE233" s="123"/>
      <c r="AF233" s="123"/>
      <c r="AG233" s="123"/>
      <c r="AH233" s="123"/>
      <c r="AI233" s="144" t="s">
        <v>204</v>
      </c>
      <c r="AJ233" s="123"/>
      <c r="AK233" s="123"/>
      <c r="AL233" s="123"/>
      <c r="AM233" s="123"/>
      <c r="AN233" s="123"/>
      <c r="AO233" s="123"/>
      <c r="AP233" s="123"/>
      <c r="AQ233" s="123"/>
      <c r="AR233" s="123"/>
      <c r="AS233" s="123"/>
      <c r="AT233" s="123"/>
      <c r="AU233" s="123"/>
      <c r="AV233" s="123"/>
      <c r="AW233" s="123"/>
      <c r="AX233" s="123"/>
    </row>
    <row r="234" spans="1:50" ht="20" customHeight="1" x14ac:dyDescent="0.2">
      <c r="A234" s="199"/>
      <c r="B234" s="123"/>
      <c r="C234" s="123"/>
      <c r="D234" s="123"/>
      <c r="E234" s="123"/>
      <c r="F234" s="123"/>
      <c r="G234" s="123"/>
      <c r="H234" s="123"/>
      <c r="I234" s="123"/>
      <c r="J234" s="123"/>
      <c r="K234" s="123"/>
      <c r="L234" s="123"/>
      <c r="M234" s="123"/>
      <c r="N234" s="123"/>
      <c r="O234" s="123"/>
      <c r="P234" s="145" t="s">
        <v>196</v>
      </c>
      <c r="Q234" s="123"/>
      <c r="R234" s="123"/>
      <c r="S234" s="123"/>
      <c r="T234" s="123"/>
      <c r="V234" s="123"/>
      <c r="W234" s="123"/>
      <c r="X234" s="123"/>
      <c r="Y234" s="123"/>
      <c r="Z234" s="123"/>
      <c r="AA234" s="123"/>
      <c r="AB234" s="123"/>
      <c r="AC234" s="123"/>
      <c r="AD234" s="123"/>
      <c r="AE234" s="123"/>
      <c r="AF234" s="123"/>
      <c r="AG234" s="123"/>
      <c r="AH234" s="123"/>
      <c r="AI234" s="145" t="s">
        <v>205</v>
      </c>
      <c r="AJ234" s="123"/>
      <c r="AK234" s="123"/>
      <c r="AL234" s="123"/>
      <c r="AM234" s="123"/>
      <c r="AN234" s="123"/>
      <c r="AO234" s="123"/>
      <c r="AP234" s="123"/>
      <c r="AQ234" s="123"/>
      <c r="AR234" s="123"/>
      <c r="AS234" s="123"/>
      <c r="AT234" s="123"/>
      <c r="AU234" s="123"/>
      <c r="AV234" s="123"/>
      <c r="AW234" s="123"/>
      <c r="AX234" s="123"/>
    </row>
    <row r="235" spans="1:50" ht="20" customHeight="1" x14ac:dyDescent="0.2">
      <c r="A235" s="199"/>
      <c r="B235" s="123"/>
      <c r="C235" s="123"/>
      <c r="D235" s="123"/>
      <c r="E235" s="123"/>
      <c r="F235" s="123"/>
      <c r="G235" s="123"/>
      <c r="H235" s="123"/>
      <c r="I235" s="123"/>
      <c r="J235" s="123"/>
      <c r="K235" s="123"/>
      <c r="L235" s="123"/>
      <c r="M235" s="123"/>
      <c r="N235" s="123"/>
      <c r="O235" s="123"/>
      <c r="P235" s="146" cm="1">
        <f t="array" ref="P235:R244">EXP(Blueprint_ep1!P221:R230)</f>
        <v>0.85170771563511449</v>
      </c>
      <c r="Q235" s="146">
        <v>0.84889399147224032</v>
      </c>
      <c r="R235" s="146">
        <v>0.87782935016754382</v>
      </c>
      <c r="S235" s="123"/>
      <c r="T235" s="123"/>
      <c r="V235" s="123"/>
      <c r="W235" s="123"/>
      <c r="X235" s="123"/>
      <c r="Y235" s="123"/>
      <c r="Z235" s="123"/>
      <c r="AA235" s="123"/>
      <c r="AB235" s="123"/>
      <c r="AC235" s="123"/>
      <c r="AD235" s="123"/>
      <c r="AE235" s="123"/>
      <c r="AF235" s="123"/>
      <c r="AG235" s="123"/>
      <c r="AH235" s="123"/>
      <c r="AI235" s="146" cm="1">
        <f t="array" ref="AI235:AK244">-ohe/X_11</f>
        <v>0</v>
      </c>
      <c r="AJ235" s="146">
        <v>0</v>
      </c>
      <c r="AK235" s="146">
        <v>0</v>
      </c>
      <c r="AL235" s="123"/>
      <c r="AM235" s="123"/>
      <c r="AN235" s="123"/>
      <c r="AO235" s="123"/>
      <c r="AP235" s="123"/>
      <c r="AQ235" s="123"/>
      <c r="AR235" s="123"/>
      <c r="AS235" s="123"/>
      <c r="AT235" s="123"/>
      <c r="AU235" s="123"/>
      <c r="AV235" s="123"/>
      <c r="AW235" s="123"/>
      <c r="AX235" s="123"/>
    </row>
    <row r="236" spans="1:50" ht="20" customHeight="1" x14ac:dyDescent="0.2">
      <c r="A236" s="199"/>
      <c r="B236" s="123"/>
      <c r="C236" s="123"/>
      <c r="D236" s="123"/>
      <c r="E236" s="123"/>
      <c r="F236" s="123"/>
      <c r="G236" s="123"/>
      <c r="H236" s="123"/>
      <c r="I236" s="123"/>
      <c r="J236" s="123"/>
      <c r="K236" s="123"/>
      <c r="L236" s="123"/>
      <c r="M236" s="123"/>
      <c r="N236" s="123"/>
      <c r="O236" s="123"/>
      <c r="P236" s="147">
        <v>1.5231123868066532</v>
      </c>
      <c r="Q236" s="147">
        <v>1.684628738377062</v>
      </c>
      <c r="R236" s="147">
        <v>1.7109662680144839</v>
      </c>
      <c r="S236" s="123"/>
      <c r="T236" s="123"/>
      <c r="V236" s="123"/>
      <c r="W236" s="123"/>
      <c r="X236" s="123"/>
      <c r="Y236" s="123"/>
      <c r="Z236" s="123"/>
      <c r="AA236" s="123"/>
      <c r="AB236" s="123"/>
      <c r="AC236" s="123"/>
      <c r="AD236" s="123"/>
      <c r="AE236" s="123"/>
      <c r="AF236" s="123"/>
      <c r="AG236" s="123"/>
      <c r="AH236" s="123"/>
      <c r="AI236" s="147">
        <v>0</v>
      </c>
      <c r="AJ236" s="147">
        <v>0</v>
      </c>
      <c r="AK236" s="147">
        <v>0</v>
      </c>
      <c r="AL236" s="123"/>
      <c r="AM236" s="123"/>
      <c r="AN236" s="123"/>
      <c r="AO236" s="123"/>
      <c r="AP236" s="123"/>
      <c r="AQ236" s="123"/>
      <c r="AR236" s="123"/>
      <c r="AS236" s="123"/>
      <c r="AT236" s="123"/>
      <c r="AU236" s="123"/>
      <c r="AV236" s="123"/>
      <c r="AW236" s="123"/>
      <c r="AX236" s="123"/>
    </row>
    <row r="237" spans="1:50" ht="20" customHeight="1" x14ac:dyDescent="0.2">
      <c r="A237" s="199"/>
      <c r="B237" s="123"/>
      <c r="C237" s="123"/>
      <c r="D237" s="123"/>
      <c r="E237" s="123"/>
      <c r="F237" s="123"/>
      <c r="G237" s="123"/>
      <c r="H237" s="123"/>
      <c r="I237" s="123"/>
      <c r="J237" s="123"/>
      <c r="K237" s="123"/>
      <c r="L237" s="123"/>
      <c r="M237" s="123"/>
      <c r="N237" s="123"/>
      <c r="O237" s="123"/>
      <c r="P237" s="147">
        <v>0.84429557086531104</v>
      </c>
      <c r="Q237" s="147">
        <v>0.93514033215564452</v>
      </c>
      <c r="R237" s="147">
        <v>1.1084474671954518</v>
      </c>
      <c r="S237" s="123"/>
      <c r="T237" s="123"/>
      <c r="V237" s="123"/>
      <c r="W237" s="123"/>
      <c r="X237" s="123"/>
      <c r="Y237" s="123"/>
      <c r="Z237" s="123"/>
      <c r="AA237" s="123"/>
      <c r="AB237" s="123"/>
      <c r="AC237" s="123"/>
      <c r="AD237" s="123"/>
      <c r="AE237" s="123"/>
      <c r="AF237" s="123"/>
      <c r="AG237" s="123"/>
      <c r="AH237" s="123"/>
      <c r="AI237" s="147">
        <v>0</v>
      </c>
      <c r="AJ237" s="147">
        <v>0</v>
      </c>
      <c r="AK237" s="147">
        <v>0</v>
      </c>
      <c r="AL237" s="123"/>
      <c r="AM237" s="123"/>
      <c r="AN237" s="123"/>
      <c r="AO237" s="123"/>
      <c r="AP237" s="123"/>
      <c r="AQ237" s="123"/>
      <c r="AR237" s="123"/>
      <c r="AS237" s="123"/>
      <c r="AT237" s="123"/>
      <c r="AU237" s="123"/>
      <c r="AV237" s="123"/>
      <c r="AW237" s="123"/>
      <c r="AX237" s="123"/>
    </row>
    <row r="238" spans="1:50" ht="20" customHeight="1" x14ac:dyDescent="0.2">
      <c r="A238" s="199"/>
      <c r="B238" s="123"/>
      <c r="C238" s="123"/>
      <c r="D238" s="123"/>
      <c r="E238" s="123"/>
      <c r="F238" s="123"/>
      <c r="G238" s="123"/>
      <c r="H238" s="123"/>
      <c r="I238" s="123"/>
      <c r="J238" s="123"/>
      <c r="K238" s="123"/>
      <c r="L238" s="123"/>
      <c r="M238" s="123"/>
      <c r="N238" s="123"/>
      <c r="O238" s="123"/>
      <c r="P238" s="147">
        <v>1.1969351663992829</v>
      </c>
      <c r="Q238" s="147">
        <v>0.93355147821135209</v>
      </c>
      <c r="R238" s="147">
        <v>0.91489427106398191</v>
      </c>
      <c r="S238" s="123"/>
      <c r="T238" s="123"/>
      <c r="V238" s="123"/>
      <c r="W238" s="123"/>
      <c r="X238" s="123"/>
      <c r="Y238" s="123"/>
      <c r="Z238" s="123"/>
      <c r="AA238" s="123"/>
      <c r="AB238" s="123"/>
      <c r="AC238" s="123"/>
      <c r="AD238" s="123"/>
      <c r="AE238" s="123"/>
      <c r="AF238" s="123"/>
      <c r="AG238" s="123"/>
      <c r="AH238" s="123"/>
      <c r="AI238" s="147">
        <v>0</v>
      </c>
      <c r="AJ238" s="147">
        <v>0</v>
      </c>
      <c r="AK238" s="147">
        <v>0</v>
      </c>
      <c r="AL238" s="123"/>
      <c r="AM238" s="123"/>
      <c r="AN238" s="123"/>
      <c r="AO238" s="123"/>
      <c r="AP238" s="123"/>
      <c r="AQ238" s="123"/>
      <c r="AR238" s="123"/>
      <c r="AS238" s="123"/>
      <c r="AT238" s="123"/>
      <c r="AU238" s="123"/>
      <c r="AV238" s="123"/>
      <c r="AW238" s="123"/>
      <c r="AX238" s="123"/>
    </row>
    <row r="239" spans="1:50" ht="20" customHeight="1" x14ac:dyDescent="0.2">
      <c r="A239" s="199"/>
      <c r="B239" s="123"/>
      <c r="C239" s="123"/>
      <c r="D239" s="123"/>
      <c r="E239" s="123"/>
      <c r="F239" s="123"/>
      <c r="G239" s="123"/>
      <c r="H239" s="123"/>
      <c r="I239" s="123"/>
      <c r="J239" s="123"/>
      <c r="K239" s="123"/>
      <c r="L239" s="123"/>
      <c r="M239" s="123"/>
      <c r="N239" s="123"/>
      <c r="O239" s="123"/>
      <c r="P239" s="147">
        <v>0.8585042657311347</v>
      </c>
      <c r="Q239" s="147">
        <v>0.89413747612538919</v>
      </c>
      <c r="R239" s="147">
        <v>0.90371678415436363</v>
      </c>
      <c r="S239" s="123"/>
      <c r="T239" s="123"/>
      <c r="V239" s="123"/>
      <c r="W239" s="123"/>
      <c r="X239" s="123"/>
      <c r="Y239" s="123"/>
      <c r="Z239" s="123"/>
      <c r="AA239" s="123"/>
      <c r="AB239" s="123"/>
      <c r="AC239" s="123"/>
      <c r="AD239" s="123"/>
      <c r="AE239" s="123"/>
      <c r="AF239" s="123"/>
      <c r="AG239" s="123"/>
      <c r="AH239" s="123"/>
      <c r="AI239" s="147">
        <v>0</v>
      </c>
      <c r="AJ239" s="147">
        <v>0</v>
      </c>
      <c r="AK239" s="147">
        <v>0</v>
      </c>
      <c r="AL239" s="123"/>
      <c r="AM239" s="123"/>
      <c r="AN239" s="123"/>
      <c r="AO239" s="123"/>
      <c r="AP239" s="123"/>
      <c r="AQ239" s="123"/>
      <c r="AR239" s="123"/>
      <c r="AS239" s="123"/>
      <c r="AT239" s="123"/>
      <c r="AU239" s="123"/>
      <c r="AV239" s="123"/>
      <c r="AW239" s="123"/>
      <c r="AX239" s="123"/>
    </row>
    <row r="240" spans="1:50" ht="20" customHeight="1" x14ac:dyDescent="0.2">
      <c r="A240" s="199"/>
      <c r="B240" s="123"/>
      <c r="C240" s="123"/>
      <c r="D240" s="123"/>
      <c r="E240" s="123"/>
      <c r="F240" s="123"/>
      <c r="G240" s="123"/>
      <c r="H240" s="123"/>
      <c r="I240" s="123"/>
      <c r="J240" s="123"/>
      <c r="K240" s="123"/>
      <c r="L240" s="123"/>
      <c r="M240" s="123"/>
      <c r="N240" s="123"/>
      <c r="O240" s="123"/>
      <c r="P240" s="147">
        <v>0.88720578148634932</v>
      </c>
      <c r="Q240" s="147">
        <v>0.84996232522981319</v>
      </c>
      <c r="R240" s="147">
        <v>0.84448520920836789</v>
      </c>
      <c r="S240" s="123"/>
      <c r="T240" s="123"/>
      <c r="V240" s="123"/>
      <c r="W240" s="123"/>
      <c r="X240" s="123"/>
      <c r="Y240" s="123"/>
      <c r="Z240" s="123"/>
      <c r="AA240" s="123"/>
      <c r="AB240" s="123"/>
      <c r="AC240" s="123"/>
      <c r="AD240" s="123"/>
      <c r="AE240" s="123"/>
      <c r="AF240" s="123"/>
      <c r="AG240" s="123"/>
      <c r="AH240" s="123"/>
      <c r="AI240" s="147">
        <v>-12.739632600019929</v>
      </c>
      <c r="AJ240" s="147">
        <v>0</v>
      </c>
      <c r="AK240" s="147">
        <v>0</v>
      </c>
      <c r="AL240" s="123"/>
      <c r="AM240" s="123"/>
      <c r="AN240" s="123"/>
      <c r="AO240" s="123"/>
      <c r="AP240" s="123"/>
      <c r="AQ240" s="123"/>
      <c r="AR240" s="123"/>
      <c r="AS240" s="123"/>
      <c r="AT240" s="123"/>
      <c r="AU240" s="123"/>
      <c r="AV240" s="123"/>
      <c r="AW240" s="123"/>
      <c r="AX240" s="123"/>
    </row>
    <row r="241" spans="1:50" ht="20" customHeight="1" x14ac:dyDescent="0.2">
      <c r="A241" s="199"/>
      <c r="B241" s="123"/>
      <c r="C241" s="123"/>
      <c r="D241" s="123"/>
      <c r="E241" s="123"/>
      <c r="F241" s="123"/>
      <c r="G241" s="123"/>
      <c r="H241" s="123"/>
      <c r="I241" s="123"/>
      <c r="J241" s="123"/>
      <c r="K241" s="123"/>
      <c r="L241" s="123"/>
      <c r="M241" s="123"/>
      <c r="N241" s="123"/>
      <c r="O241" s="123"/>
      <c r="P241" s="147">
        <v>0.85027312109938957</v>
      </c>
      <c r="Q241" s="147">
        <v>0.84553443711239051</v>
      </c>
      <c r="R241" s="147">
        <v>0.86758275348662561</v>
      </c>
      <c r="S241" s="123"/>
      <c r="T241" s="123"/>
      <c r="V241" s="123"/>
      <c r="W241" s="123"/>
      <c r="X241" s="123"/>
      <c r="Y241" s="123"/>
      <c r="Z241" s="123"/>
      <c r="AA241" s="123"/>
      <c r="AB241" s="123"/>
      <c r="AC241" s="123"/>
      <c r="AD241" s="123"/>
      <c r="AE241" s="123"/>
      <c r="AF241" s="123"/>
      <c r="AG241" s="123"/>
      <c r="AH241" s="123"/>
      <c r="AI241" s="147">
        <v>0</v>
      </c>
      <c r="AJ241" s="147">
        <v>0</v>
      </c>
      <c r="AK241" s="147">
        <v>0</v>
      </c>
      <c r="AL241" s="123"/>
      <c r="AM241" s="123"/>
      <c r="AN241" s="123"/>
      <c r="AO241" s="123"/>
      <c r="AP241" s="123"/>
      <c r="AQ241" s="123"/>
      <c r="AR241" s="123"/>
      <c r="AS241" s="123"/>
      <c r="AT241" s="123"/>
      <c r="AU241" s="123"/>
      <c r="AV241" s="123"/>
      <c r="AW241" s="123"/>
      <c r="AX241" s="123"/>
    </row>
    <row r="242" spans="1:50" ht="20" customHeight="1" x14ac:dyDescent="0.2">
      <c r="A242" s="199"/>
      <c r="B242" s="123"/>
      <c r="C242" s="123"/>
      <c r="D242" s="123"/>
      <c r="E242" s="123"/>
      <c r="F242" s="123"/>
      <c r="G242" s="123"/>
      <c r="H242" s="123"/>
      <c r="I242" s="123"/>
      <c r="J242" s="123"/>
      <c r="K242" s="123"/>
      <c r="L242" s="123"/>
      <c r="M242" s="123"/>
      <c r="N242" s="123"/>
      <c r="O242" s="123"/>
      <c r="P242" s="147">
        <v>0.99308305580277945</v>
      </c>
      <c r="Q242" s="147">
        <v>0.85327348740154763</v>
      </c>
      <c r="R242" s="147">
        <v>0.84401804195314478</v>
      </c>
      <c r="S242" s="123"/>
      <c r="T242" s="123"/>
      <c r="V242" s="123"/>
      <c r="W242" s="123"/>
      <c r="X242" s="123"/>
      <c r="Y242" s="123"/>
      <c r="Z242" s="123"/>
      <c r="AA242" s="123"/>
      <c r="AB242" s="123"/>
      <c r="AC242" s="123"/>
      <c r="AD242" s="123"/>
      <c r="AE242" s="123"/>
      <c r="AF242" s="123"/>
      <c r="AG242" s="123"/>
      <c r="AH242" s="123"/>
      <c r="AI242" s="147">
        <v>0</v>
      </c>
      <c r="AJ242" s="147">
        <v>0</v>
      </c>
      <c r="AK242" s="147">
        <v>0</v>
      </c>
      <c r="AL242" s="123"/>
      <c r="AM242" s="123"/>
      <c r="AN242" s="123"/>
      <c r="AO242" s="123"/>
      <c r="AP242" s="123"/>
      <c r="AQ242" s="123"/>
      <c r="AR242" s="123"/>
      <c r="AS242" s="123"/>
      <c r="AT242" s="123"/>
      <c r="AU242" s="123"/>
      <c r="AV242" s="123"/>
      <c r="AW242" s="123"/>
      <c r="AX242" s="123"/>
    </row>
    <row r="243" spans="1:50" ht="20" customHeight="1" x14ac:dyDescent="0.2">
      <c r="A243" s="199"/>
      <c r="B243" s="123"/>
      <c r="C243" s="123"/>
      <c r="D243" s="123"/>
      <c r="E243" s="123"/>
      <c r="F243" s="123"/>
      <c r="G243" s="123"/>
      <c r="H243" s="123"/>
      <c r="I243" s="123"/>
      <c r="J243" s="123"/>
      <c r="K243" s="123"/>
      <c r="L243" s="123"/>
      <c r="M243" s="123"/>
      <c r="N243" s="123"/>
      <c r="O243" s="123"/>
      <c r="P243" s="147">
        <v>1.9714115939498682</v>
      </c>
      <c r="Q243" s="147">
        <v>2.4689024808539575</v>
      </c>
      <c r="R243" s="147">
        <v>2.5021862815064484</v>
      </c>
      <c r="S243" s="123"/>
      <c r="T243" s="123"/>
      <c r="V243" s="123"/>
      <c r="W243" s="123"/>
      <c r="X243" s="123"/>
      <c r="Y243" s="123"/>
      <c r="Z243" s="123"/>
      <c r="AA243" s="123"/>
      <c r="AB243" s="123"/>
      <c r="AC243" s="123"/>
      <c r="AD243" s="123"/>
      <c r="AE243" s="123"/>
      <c r="AF243" s="123"/>
      <c r="AG243" s="123"/>
      <c r="AH243" s="123"/>
      <c r="AI243" s="147">
        <v>0</v>
      </c>
      <c r="AJ243" s="147">
        <v>-5.1963666190024291</v>
      </c>
      <c r="AK243" s="147">
        <v>-5.63875320457434</v>
      </c>
      <c r="AL243" s="123"/>
      <c r="AM243" s="123"/>
      <c r="AN243" s="123"/>
      <c r="AO243" s="123"/>
      <c r="AP243" s="123"/>
      <c r="AQ243" s="123"/>
      <c r="AR243" s="123"/>
      <c r="AS243" s="123"/>
      <c r="AT243" s="123"/>
      <c r="AU243" s="123"/>
      <c r="AV243" s="123"/>
      <c r="AW243" s="123"/>
      <c r="AX243" s="123"/>
    </row>
    <row r="244" spans="1:50" ht="20" customHeight="1" x14ac:dyDescent="0.2">
      <c r="A244" s="199"/>
      <c r="B244" s="123"/>
      <c r="C244" s="123"/>
      <c r="D244" s="123"/>
      <c r="E244" s="123"/>
      <c r="F244" s="123"/>
      <c r="G244" s="123"/>
      <c r="H244" s="123"/>
      <c r="I244" s="123"/>
      <c r="J244" s="123"/>
      <c r="K244" s="123"/>
      <c r="L244" s="123"/>
      <c r="M244" s="123"/>
      <c r="N244" s="123"/>
      <c r="O244" s="123"/>
      <c r="P244" s="148">
        <v>1.3261470389737682</v>
      </c>
      <c r="Q244" s="148">
        <v>2.5152976901423916</v>
      </c>
      <c r="R244" s="148">
        <v>3.5350844865360269</v>
      </c>
      <c r="S244" s="123"/>
      <c r="T244" s="123"/>
      <c r="V244" s="123"/>
      <c r="W244" s="123"/>
      <c r="X244" s="123"/>
      <c r="Y244" s="123"/>
      <c r="Z244" s="123"/>
      <c r="AA244" s="123"/>
      <c r="AB244" s="123"/>
      <c r="AC244" s="123"/>
      <c r="AD244" s="123"/>
      <c r="AE244" s="123"/>
      <c r="AF244" s="123"/>
      <c r="AG244" s="123"/>
      <c r="AH244" s="123"/>
      <c r="AI244" s="148">
        <v>0</v>
      </c>
      <c r="AJ244" s="148">
        <v>0</v>
      </c>
      <c r="AK244" s="148">
        <v>0</v>
      </c>
      <c r="AL244" s="123"/>
      <c r="AM244" s="123"/>
      <c r="AN244" s="123"/>
      <c r="AO244" s="123"/>
      <c r="AP244" s="123"/>
      <c r="AQ244" s="123"/>
      <c r="AR244" s="123"/>
      <c r="AS244" s="123"/>
      <c r="AT244" s="123"/>
      <c r="AU244" s="123"/>
      <c r="AV244" s="123"/>
      <c r="AW244" s="123"/>
      <c r="AX244" s="123"/>
    </row>
    <row r="245" spans="1:50" ht="20" customHeight="1" x14ac:dyDescent="0.2">
      <c r="A245" s="199"/>
      <c r="B245" s="123"/>
      <c r="C245" s="123"/>
      <c r="D245" s="123"/>
      <c r="E245" s="123"/>
      <c r="F245" s="123"/>
      <c r="G245" s="123"/>
      <c r="H245" s="123"/>
      <c r="I245" s="123"/>
      <c r="J245" s="123"/>
      <c r="K245" s="123"/>
      <c r="L245" s="123"/>
      <c r="M245" s="123"/>
      <c r="N245" s="123"/>
      <c r="O245" s="123"/>
      <c r="P245" s="145" t="s">
        <v>123</v>
      </c>
      <c r="Q245" s="123"/>
      <c r="R245" s="123"/>
      <c r="S245" s="123"/>
      <c r="T245" s="123"/>
      <c r="V245" s="123"/>
      <c r="W245" s="123"/>
      <c r="X245" s="123"/>
      <c r="Y245" s="123"/>
      <c r="Z245" s="123"/>
      <c r="AA245" s="123"/>
      <c r="AB245" s="123"/>
      <c r="AC245" s="123"/>
      <c r="AD245" s="123"/>
      <c r="AE245" s="123"/>
      <c r="AF245" s="123"/>
      <c r="AG245" s="123"/>
      <c r="AH245" s="123"/>
      <c r="AI245" s="123"/>
      <c r="AJ245" s="123"/>
      <c r="AK245" s="123"/>
      <c r="AL245" s="123"/>
      <c r="AM245" s="123"/>
      <c r="AN245" s="123"/>
      <c r="AO245" s="123"/>
      <c r="AP245" s="123"/>
      <c r="AQ245" s="123"/>
      <c r="AR245" s="123"/>
      <c r="AS245" s="123"/>
      <c r="AT245" s="123"/>
      <c r="AU245" s="123"/>
      <c r="AV245" s="123"/>
      <c r="AW245" s="123"/>
      <c r="AX245" s="123"/>
    </row>
    <row r="246" spans="1:50" ht="20" customHeight="1" x14ac:dyDescent="0.2">
      <c r="A246" s="199"/>
      <c r="B246" s="123"/>
      <c r="C246" s="123"/>
      <c r="D246" s="123"/>
      <c r="E246" s="123"/>
      <c r="F246" s="123"/>
      <c r="G246" s="123"/>
      <c r="H246" s="123"/>
      <c r="I246" s="123"/>
      <c r="J246" s="123"/>
      <c r="K246" s="123"/>
      <c r="L246" s="123"/>
      <c r="M246" s="123"/>
      <c r="N246" s="123"/>
      <c r="O246" s="123"/>
      <c r="P246" s="157" cm="1">
        <f t="array" ref="P246:R246">_xlfn.BYCOL(Blueprint_ep1!P235:R244, _xlfn.LAMBDA(_xlpm.col, SUM(_xlpm.col)))</f>
        <v>11.302675696749652</v>
      </c>
      <c r="Q246" s="157">
        <v>12.829322437081789</v>
      </c>
      <c r="R246" s="157">
        <v>14.109210913286439</v>
      </c>
      <c r="S246" s="123"/>
      <c r="T246" s="123"/>
      <c r="V246" s="123"/>
      <c r="W246" s="123"/>
      <c r="X246" s="123"/>
      <c r="Y246" s="123"/>
      <c r="Z246" s="123"/>
      <c r="AA246" s="123"/>
      <c r="AB246" s="123"/>
      <c r="AC246" s="123"/>
      <c r="AD246" s="123"/>
      <c r="AE246" s="123"/>
      <c r="AF246" s="123"/>
      <c r="AG246" s="123"/>
      <c r="AH246" s="123"/>
      <c r="AI246" s="123"/>
      <c r="AJ246" s="123"/>
      <c r="AK246" s="123"/>
      <c r="AL246" s="123"/>
      <c r="AM246" s="123"/>
      <c r="AN246" s="123"/>
      <c r="AO246" s="123"/>
      <c r="AP246" s="123"/>
      <c r="AQ246" s="123"/>
      <c r="AR246" s="123"/>
      <c r="AS246" s="123"/>
      <c r="AT246" s="123"/>
      <c r="AU246" s="123"/>
      <c r="AV246" s="123"/>
      <c r="AW246" s="123"/>
      <c r="AX246" s="123"/>
    </row>
    <row r="247" spans="1:50" ht="20" customHeight="1" x14ac:dyDescent="0.2">
      <c r="A247" s="199"/>
      <c r="B247" s="123"/>
      <c r="C247" s="123"/>
      <c r="D247" s="123"/>
      <c r="E247" s="123"/>
      <c r="F247" s="123"/>
      <c r="G247" s="123"/>
      <c r="H247" s="123"/>
      <c r="I247" s="123"/>
      <c r="J247" s="123"/>
      <c r="K247" s="123"/>
      <c r="L247" s="123"/>
      <c r="M247" s="123"/>
      <c r="N247" s="123"/>
      <c r="O247" s="123"/>
      <c r="P247" s="145" t="s">
        <v>197</v>
      </c>
      <c r="Q247" s="123"/>
      <c r="R247" s="123"/>
      <c r="S247" s="123"/>
      <c r="T247" s="123"/>
      <c r="V247" s="123"/>
      <c r="W247" s="123"/>
      <c r="X247" s="123"/>
      <c r="Y247" s="123"/>
      <c r="Z247" s="123"/>
      <c r="AA247" s="123"/>
      <c r="AB247" s="123"/>
      <c r="AC247" s="123"/>
      <c r="AD247" s="123"/>
      <c r="AE247" s="123"/>
      <c r="AF247" s="123"/>
      <c r="AG247" s="123"/>
      <c r="AH247" s="123"/>
      <c r="AI247" s="123"/>
      <c r="AJ247" s="123"/>
      <c r="AK247" s="123"/>
      <c r="AL247" s="123"/>
      <c r="AM247" s="123"/>
      <c r="AN247" s="123"/>
      <c r="AO247" s="123"/>
      <c r="AP247" s="123"/>
      <c r="AQ247" s="123"/>
      <c r="AR247" s="123"/>
      <c r="AS247" s="123"/>
      <c r="AT247" s="123"/>
      <c r="AU247" s="123"/>
      <c r="AV247" s="123"/>
      <c r="AW247" s="123"/>
      <c r="AX247" s="123"/>
    </row>
    <row r="248" spans="1:50" ht="20" customHeight="1" x14ac:dyDescent="0.2">
      <c r="A248" s="199"/>
      <c r="B248" s="123"/>
      <c r="C248" s="123"/>
      <c r="D248" s="123"/>
      <c r="E248" s="123"/>
      <c r="F248" s="123"/>
      <c r="G248" s="123"/>
      <c r="H248" s="123"/>
      <c r="I248" s="123"/>
      <c r="J248" s="123"/>
      <c r="K248" s="123"/>
      <c r="L248" s="123"/>
      <c r="M248" s="123"/>
      <c r="N248" s="123"/>
      <c r="O248" s="123"/>
      <c r="P248" s="146" cm="1">
        <f t="array" ref="P248:R257">Blueprint_ep1!P235:R244/Blueprint_ep1!P246:R246</f>
        <v>7.5354521220142842E-2</v>
      </c>
      <c r="Q248" s="146">
        <v>6.6168263806247685E-2</v>
      </c>
      <c r="R248" s="146">
        <v>6.2216757234871627E-2</v>
      </c>
      <c r="S248" s="123"/>
      <c r="T248" s="123"/>
      <c r="V248" s="123"/>
      <c r="W248" s="123"/>
      <c r="X248" s="123"/>
      <c r="Y248" s="123"/>
      <c r="Z248" s="123"/>
      <c r="AA248" s="123"/>
      <c r="AB248" s="123"/>
      <c r="AC248" s="123"/>
      <c r="AD248" s="123"/>
      <c r="AE248" s="123"/>
      <c r="AF248" s="123"/>
      <c r="AG248" s="123"/>
      <c r="AH248" s="123"/>
      <c r="AI248" s="123"/>
      <c r="AJ248" s="123"/>
      <c r="AK248" s="123"/>
      <c r="AL248" s="123"/>
      <c r="AM248" s="123"/>
      <c r="AN248" s="123"/>
      <c r="AO248" s="123"/>
      <c r="AP248" s="123"/>
      <c r="AQ248" s="123"/>
      <c r="AR248" s="123"/>
      <c r="AS248" s="123"/>
      <c r="AT248" s="123"/>
      <c r="AU248" s="123"/>
      <c r="AV248" s="123"/>
      <c r="AW248" s="123"/>
      <c r="AX248" s="123"/>
    </row>
    <row r="249" spans="1:50" ht="20" customHeight="1" x14ac:dyDescent="0.2">
      <c r="A249" s="199"/>
      <c r="B249" s="123"/>
      <c r="C249" s="123"/>
      <c r="D249" s="123"/>
      <c r="E249" s="123"/>
      <c r="F249" s="123"/>
      <c r="G249" s="123"/>
      <c r="H249" s="123"/>
      <c r="I249" s="123"/>
      <c r="J249" s="123"/>
      <c r="K249" s="123"/>
      <c r="L249" s="123"/>
      <c r="M249" s="123"/>
      <c r="N249" s="123"/>
      <c r="O249" s="123"/>
      <c r="P249" s="147">
        <v>0.13475679809557481</v>
      </c>
      <c r="Q249" s="147">
        <v>0.13131081135725625</v>
      </c>
      <c r="R249" s="147">
        <v>0.12126590767760738</v>
      </c>
      <c r="S249" s="123"/>
      <c r="T249" s="123"/>
      <c r="V249" s="123"/>
      <c r="W249" s="123"/>
      <c r="X249" s="123"/>
      <c r="Y249" s="123"/>
      <c r="Z249" s="123"/>
      <c r="AA249" s="123"/>
      <c r="AB249" s="123"/>
      <c r="AC249" s="123"/>
      <c r="AD249" s="123"/>
      <c r="AE249" s="123"/>
      <c r="AF249" s="123"/>
      <c r="AG249" s="123"/>
      <c r="AH249" s="123"/>
      <c r="AI249" s="123"/>
      <c r="AJ249" s="123"/>
      <c r="AK249" s="123"/>
      <c r="AL249" s="123"/>
      <c r="AM249" s="123"/>
      <c r="AN249" s="123"/>
      <c r="AO249" s="123"/>
      <c r="AP249" s="123"/>
      <c r="AQ249" s="123"/>
      <c r="AR249" s="123"/>
      <c r="AS249" s="123"/>
      <c r="AT249" s="123"/>
      <c r="AU249" s="123"/>
      <c r="AV249" s="123"/>
      <c r="AW249" s="123"/>
      <c r="AX249" s="123"/>
    </row>
    <row r="250" spans="1:50" ht="20" customHeight="1" x14ac:dyDescent="0.2">
      <c r="A250" s="199"/>
      <c r="B250" s="123"/>
      <c r="C250" s="123"/>
      <c r="D250" s="123"/>
      <c r="E250" s="123"/>
      <c r="F250" s="123"/>
      <c r="G250" s="123"/>
      <c r="H250" s="123"/>
      <c r="I250" s="123"/>
      <c r="J250" s="123"/>
      <c r="K250" s="123"/>
      <c r="L250" s="123"/>
      <c r="M250" s="123"/>
      <c r="N250" s="123"/>
      <c r="O250" s="123"/>
      <c r="P250" s="147">
        <v>7.4698734487100946E-2</v>
      </c>
      <c r="Q250" s="147">
        <v>7.2890858947680756E-2</v>
      </c>
      <c r="R250" s="147">
        <v>7.8561974444059296E-2</v>
      </c>
      <c r="S250" s="123"/>
      <c r="T250" s="123"/>
      <c r="V250" s="123"/>
      <c r="W250" s="123"/>
      <c r="X250" s="123"/>
      <c r="Y250" s="123"/>
      <c r="Z250" s="123"/>
      <c r="AA250" s="123"/>
      <c r="AB250" s="123"/>
      <c r="AC250" s="123"/>
      <c r="AD250" s="123"/>
      <c r="AE250" s="123"/>
      <c r="AF250" s="123"/>
      <c r="AG250" s="123"/>
      <c r="AH250" s="123"/>
      <c r="AI250" s="123"/>
      <c r="AJ250" s="123"/>
      <c r="AK250" s="123"/>
      <c r="AL250" s="123"/>
      <c r="AM250" s="123"/>
      <c r="AN250" s="123"/>
      <c r="AO250" s="123"/>
      <c r="AP250" s="123"/>
      <c r="AQ250" s="123"/>
      <c r="AR250" s="123"/>
      <c r="AS250" s="123"/>
      <c r="AT250" s="123"/>
      <c r="AU250" s="123"/>
      <c r="AV250" s="123"/>
      <c r="AW250" s="123"/>
      <c r="AX250" s="123"/>
    </row>
    <row r="251" spans="1:50" ht="20" customHeight="1" x14ac:dyDescent="0.2">
      <c r="A251" s="199"/>
      <c r="B251" s="123"/>
      <c r="C251" s="123"/>
      <c r="D251" s="123"/>
      <c r="E251" s="123"/>
      <c r="F251" s="123"/>
      <c r="G251" s="123"/>
      <c r="H251" s="123"/>
      <c r="I251" s="123"/>
      <c r="J251" s="123"/>
      <c r="K251" s="123"/>
      <c r="L251" s="123"/>
      <c r="M251" s="123"/>
      <c r="N251" s="123"/>
      <c r="O251" s="123"/>
      <c r="P251" s="147">
        <v>0.10589839065660261</v>
      </c>
      <c r="Q251" s="147">
        <v>7.276701344047766E-2</v>
      </c>
      <c r="R251" s="147">
        <v>6.4843758923643219E-2</v>
      </c>
      <c r="S251" s="123"/>
      <c r="T251" s="123"/>
      <c r="V251" s="123"/>
      <c r="W251" s="123"/>
      <c r="X251" s="123"/>
      <c r="Y251" s="123"/>
      <c r="Z251" s="123"/>
      <c r="AA251" s="123"/>
      <c r="AB251" s="123"/>
      <c r="AC251" s="123"/>
      <c r="AD251" s="123"/>
      <c r="AE251" s="123"/>
      <c r="AF251" s="123"/>
      <c r="AG251" s="123"/>
      <c r="AH251" s="123"/>
      <c r="AI251" s="123"/>
      <c r="AJ251" s="123"/>
      <c r="AK251" s="123"/>
      <c r="AL251" s="123"/>
      <c r="AM251" s="123"/>
      <c r="AN251" s="123"/>
      <c r="AO251" s="123"/>
      <c r="AP251" s="123"/>
      <c r="AQ251" s="123"/>
      <c r="AR251" s="123"/>
      <c r="AS251" s="123"/>
      <c r="AT251" s="123"/>
      <c r="AU251" s="123"/>
      <c r="AV251" s="123"/>
      <c r="AW251" s="123"/>
      <c r="AX251" s="123"/>
    </row>
    <row r="252" spans="1:50" ht="20" customHeight="1" x14ac:dyDescent="0.2">
      <c r="A252" s="199"/>
      <c r="B252" s="123"/>
      <c r="C252" s="123"/>
      <c r="D252" s="123"/>
      <c r="E252" s="123"/>
      <c r="F252" s="123"/>
      <c r="G252" s="123"/>
      <c r="H252" s="123"/>
      <c r="I252" s="123"/>
      <c r="J252" s="123"/>
      <c r="K252" s="123"/>
      <c r="L252" s="123"/>
      <c r="M252" s="123"/>
      <c r="N252" s="123"/>
      <c r="O252" s="123"/>
      <c r="P252" s="147">
        <v>7.5955843444930268E-2</v>
      </c>
      <c r="Q252" s="147">
        <v>6.9694832327308276E-2</v>
      </c>
      <c r="R252" s="147">
        <v>6.4051546873067619E-2</v>
      </c>
      <c r="S252" s="123"/>
      <c r="T252" s="123"/>
      <c r="V252" s="123"/>
      <c r="W252" s="123"/>
      <c r="X252" s="123"/>
      <c r="Y252" s="123"/>
      <c r="Z252" s="123"/>
      <c r="AA252" s="123"/>
      <c r="AB252" s="123"/>
      <c r="AC252" s="123"/>
      <c r="AD252" s="123"/>
      <c r="AE252" s="123"/>
      <c r="AF252" s="123"/>
      <c r="AG252" s="123"/>
      <c r="AH252" s="123"/>
      <c r="AI252" s="123"/>
      <c r="AJ252" s="123"/>
      <c r="AK252" s="123"/>
      <c r="AL252" s="123"/>
      <c r="AM252" s="123"/>
      <c r="AN252" s="123"/>
      <c r="AO252" s="123"/>
      <c r="AP252" s="123"/>
      <c r="AQ252" s="123"/>
      <c r="AR252" s="123"/>
      <c r="AS252" s="123"/>
      <c r="AT252" s="123"/>
      <c r="AU252" s="123"/>
      <c r="AV252" s="123"/>
      <c r="AW252" s="123"/>
      <c r="AX252" s="123"/>
    </row>
    <row r="253" spans="1:50" ht="20" customHeight="1" x14ac:dyDescent="0.2">
      <c r="A253" s="199"/>
      <c r="B253" s="123"/>
      <c r="C253" s="123"/>
      <c r="D253" s="123"/>
      <c r="E253" s="123"/>
      <c r="F253" s="123"/>
      <c r="G253" s="123"/>
      <c r="H253" s="123"/>
      <c r="I253" s="123"/>
      <c r="J253" s="123"/>
      <c r="K253" s="123"/>
      <c r="L253" s="123"/>
      <c r="M253" s="123"/>
      <c r="N253" s="123"/>
      <c r="O253" s="123"/>
      <c r="P253" s="147">
        <v>7.8495199304133442E-2</v>
      </c>
      <c r="Q253" s="147">
        <v>6.6251536618417803E-2</v>
      </c>
      <c r="R253" s="147">
        <v>5.9853468375976181E-2</v>
      </c>
      <c r="S253" s="123"/>
      <c r="T253" s="123"/>
      <c r="V253" s="123"/>
      <c r="W253" s="123"/>
      <c r="X253" s="123"/>
      <c r="Y253" s="123"/>
      <c r="Z253" s="123"/>
      <c r="AA253" s="123"/>
      <c r="AB253" s="123"/>
      <c r="AC253" s="123"/>
      <c r="AD253" s="123"/>
      <c r="AE253" s="123"/>
      <c r="AF253" s="123"/>
      <c r="AG253" s="123"/>
      <c r="AH253" s="123"/>
      <c r="AI253" s="123"/>
      <c r="AJ253" s="123"/>
      <c r="AK253" s="123"/>
      <c r="AL253" s="123"/>
      <c r="AM253" s="123"/>
      <c r="AN253" s="123"/>
      <c r="AO253" s="123"/>
      <c r="AP253" s="123"/>
      <c r="AQ253" s="123"/>
      <c r="AR253" s="123"/>
      <c r="AS253" s="123"/>
      <c r="AT253" s="123"/>
      <c r="AU253" s="123"/>
      <c r="AV253" s="123"/>
      <c r="AW253" s="123"/>
      <c r="AX253" s="123"/>
    </row>
    <row r="254" spans="1:50" ht="20" customHeight="1" x14ac:dyDescent="0.2">
      <c r="A254" s="199"/>
      <c r="B254" s="123"/>
      <c r="C254" s="123"/>
      <c r="D254" s="123"/>
      <c r="E254" s="123"/>
      <c r="F254" s="123"/>
      <c r="G254" s="123"/>
      <c r="H254" s="123"/>
      <c r="I254" s="123"/>
      <c r="J254" s="123"/>
      <c r="K254" s="123"/>
      <c r="L254" s="123"/>
      <c r="M254" s="123"/>
      <c r="N254" s="123"/>
      <c r="O254" s="123"/>
      <c r="P254" s="147">
        <v>7.5227596005776345E-2</v>
      </c>
      <c r="Q254" s="147">
        <v>6.5906398506944006E-2</v>
      </c>
      <c r="R254" s="147">
        <v>6.149052266768764E-2</v>
      </c>
      <c r="S254" s="123"/>
      <c r="T254" s="123"/>
      <c r="V254" s="123"/>
      <c r="W254" s="123"/>
      <c r="X254" s="123"/>
      <c r="Y254" s="123"/>
      <c r="Z254" s="123"/>
      <c r="AA254" s="123"/>
      <c r="AB254" s="123"/>
      <c r="AC254" s="123"/>
      <c r="AD254" s="123"/>
      <c r="AE254" s="123"/>
      <c r="AF254" s="123"/>
      <c r="AG254" s="123"/>
      <c r="AH254" s="123"/>
      <c r="AI254" s="123"/>
      <c r="AJ254" s="123"/>
      <c r="AK254" s="123"/>
      <c r="AL254" s="123"/>
      <c r="AM254" s="123"/>
      <c r="AN254" s="123"/>
      <c r="AO254" s="123"/>
      <c r="AP254" s="123"/>
      <c r="AQ254" s="123"/>
      <c r="AR254" s="123"/>
      <c r="AS254" s="123"/>
      <c r="AT254" s="123"/>
      <c r="AU254" s="123"/>
      <c r="AV254" s="123"/>
      <c r="AW254" s="123"/>
      <c r="AX254" s="123"/>
    </row>
    <row r="255" spans="1:50" ht="20" customHeight="1" x14ac:dyDescent="0.2">
      <c r="A255" s="199"/>
      <c r="B255" s="123"/>
      <c r="C255" s="123"/>
      <c r="D255" s="123"/>
      <c r="E255" s="123"/>
      <c r="F255" s="123"/>
      <c r="G255" s="123"/>
      <c r="H255" s="123"/>
      <c r="I255" s="123"/>
      <c r="J255" s="123"/>
      <c r="K255" s="123"/>
      <c r="L255" s="123"/>
      <c r="M255" s="123"/>
      <c r="N255" s="123"/>
      <c r="O255" s="123"/>
      <c r="P255" s="147">
        <v>8.7862651503693379E-2</v>
      </c>
      <c r="Q255" s="147">
        <v>6.6509629918977756E-2</v>
      </c>
      <c r="R255" s="147">
        <v>5.9820357576364898E-2</v>
      </c>
      <c r="S255" s="123"/>
      <c r="T255" s="123"/>
      <c r="V255" s="123"/>
      <c r="W255" s="123"/>
      <c r="X255" s="123"/>
      <c r="Y255" s="123"/>
      <c r="Z255" s="123"/>
      <c r="AA255" s="123"/>
      <c r="AB255" s="123"/>
      <c r="AC255" s="123"/>
      <c r="AD255" s="123"/>
      <c r="AE255" s="123"/>
      <c r="AF255" s="123"/>
      <c r="AG255" s="123"/>
      <c r="AH255" s="123"/>
      <c r="AI255" s="123"/>
      <c r="AJ255" s="123"/>
      <c r="AK255" s="123"/>
      <c r="AL255" s="123"/>
      <c r="AM255" s="123"/>
      <c r="AN255" s="123"/>
      <c r="AO255" s="123"/>
      <c r="AP255" s="123"/>
      <c r="AQ255" s="123"/>
      <c r="AR255" s="123"/>
      <c r="AS255" s="123"/>
      <c r="AT255" s="123"/>
      <c r="AU255" s="123"/>
      <c r="AV255" s="123"/>
      <c r="AW255" s="123"/>
      <c r="AX255" s="123"/>
    </row>
    <row r="256" spans="1:50" ht="20" customHeight="1" x14ac:dyDescent="0.2">
      <c r="A256" s="199"/>
      <c r="B256" s="123"/>
      <c r="C256" s="123"/>
      <c r="D256" s="123"/>
      <c r="E256" s="123"/>
      <c r="F256" s="123"/>
      <c r="G256" s="123"/>
      <c r="H256" s="123"/>
      <c r="I256" s="123"/>
      <c r="J256" s="123"/>
      <c r="K256" s="123"/>
      <c r="L256" s="123"/>
      <c r="M256" s="123"/>
      <c r="N256" s="123"/>
      <c r="O256" s="123"/>
      <c r="P256" s="147">
        <v>0.17441990258260648</v>
      </c>
      <c r="Q256" s="147">
        <v>0.19244215686074412</v>
      </c>
      <c r="R256" s="147">
        <v>0.17734416877631165</v>
      </c>
      <c r="S256" s="123"/>
      <c r="T256" s="123"/>
      <c r="V256" s="123"/>
      <c r="W256" s="123"/>
      <c r="X256" s="123"/>
      <c r="Y256" s="123"/>
      <c r="Z256" s="123"/>
      <c r="AA256" s="123"/>
      <c r="AB256" s="123"/>
      <c r="AC256" s="123"/>
      <c r="AD256" s="123"/>
      <c r="AE256" s="123"/>
      <c r="AF256" s="123"/>
      <c r="AG256" s="123"/>
      <c r="AH256" s="123"/>
      <c r="AI256" s="123"/>
      <c r="AJ256" s="123"/>
      <c r="AK256" s="123"/>
      <c r="AL256" s="123"/>
      <c r="AM256" s="123"/>
      <c r="AN256" s="123"/>
      <c r="AO256" s="123"/>
      <c r="AP256" s="123"/>
      <c r="AQ256" s="123"/>
      <c r="AR256" s="123"/>
      <c r="AS256" s="123"/>
      <c r="AT256" s="123"/>
      <c r="AU256" s="123"/>
      <c r="AV256" s="123"/>
      <c r="AW256" s="123"/>
      <c r="AX256" s="123"/>
    </row>
    <row r="257" spans="1:50" ht="20" customHeight="1" x14ac:dyDescent="0.2">
      <c r="A257" s="199"/>
      <c r="B257" s="123"/>
      <c r="C257" s="123"/>
      <c r="D257" s="123"/>
      <c r="E257" s="123"/>
      <c r="F257" s="123"/>
      <c r="G257" s="123"/>
      <c r="H257" s="123"/>
      <c r="I257" s="123"/>
      <c r="J257" s="123"/>
      <c r="K257" s="123"/>
      <c r="L257" s="123"/>
      <c r="M257" s="123"/>
      <c r="N257" s="123"/>
      <c r="O257" s="123"/>
      <c r="P257" s="148">
        <v>0.11733036269943874</v>
      </c>
      <c r="Q257" s="148">
        <v>0.19605849821594568</v>
      </c>
      <c r="R257" s="148">
        <v>0.25055153745041042</v>
      </c>
      <c r="S257" s="123"/>
      <c r="T257" s="149" t="str">
        <f>HYPERLINK("#Blueprint!torchcode", "&lt;/&gt;")</f>
        <v>&lt;/&gt;</v>
      </c>
      <c r="V257" s="149" t="str">
        <f>HYPERLINK("#Blueprint!torchcode", "&lt;/&gt;")</f>
        <v>&lt;/&gt;</v>
      </c>
      <c r="W257" s="123"/>
      <c r="X257" s="123"/>
      <c r="Y257" s="123"/>
      <c r="Z257" s="123"/>
      <c r="AA257" s="123"/>
      <c r="AB257" s="123"/>
      <c r="AC257" s="123"/>
      <c r="AD257" s="123"/>
      <c r="AE257" s="123"/>
      <c r="AF257" s="123"/>
      <c r="AG257" s="123"/>
      <c r="AH257" s="123"/>
      <c r="AI257" s="123"/>
      <c r="AJ257" s="123"/>
      <c r="AK257" s="123"/>
      <c r="AL257" s="123"/>
      <c r="AM257" s="123"/>
      <c r="AN257" s="123"/>
      <c r="AO257" s="123"/>
      <c r="AP257" s="123"/>
      <c r="AQ257" s="123"/>
      <c r="AR257" s="123"/>
      <c r="AS257" s="123"/>
      <c r="AT257" s="123"/>
      <c r="AU257" s="123"/>
      <c r="AV257" s="123"/>
      <c r="AW257" s="123"/>
      <c r="AX257" s="123"/>
    </row>
    <row r="258" spans="1:50" ht="20" customHeight="1" x14ac:dyDescent="0.2">
      <c r="A258" s="199"/>
      <c r="B258" s="123"/>
      <c r="C258" s="123"/>
      <c r="D258" s="123"/>
      <c r="E258" s="123"/>
      <c r="F258" s="123"/>
      <c r="G258" s="123"/>
      <c r="H258" s="123"/>
      <c r="I258" s="123"/>
      <c r="J258" s="123"/>
      <c r="K258" s="123"/>
      <c r="L258" s="123"/>
      <c r="M258" s="123"/>
      <c r="N258" s="123"/>
      <c r="O258" s="123"/>
      <c r="P258" s="123"/>
      <c r="Q258" s="123"/>
      <c r="R258" s="123"/>
      <c r="S258" s="123"/>
      <c r="T258" s="150" t="str">
        <f>HYPERLINK("#X", "▲")</f>
        <v>▲</v>
      </c>
      <c r="V258" s="150" t="str">
        <f>HYPERLINK("#X", "▲")</f>
        <v>▲</v>
      </c>
      <c r="W258" s="123"/>
      <c r="X258" s="123"/>
      <c r="Y258" s="123"/>
      <c r="Z258" s="123"/>
      <c r="AA258" s="123"/>
      <c r="AB258" s="123"/>
      <c r="AC258" s="123"/>
      <c r="AD258" s="123"/>
      <c r="AE258" s="123"/>
      <c r="AF258" s="123"/>
      <c r="AG258" s="123"/>
      <c r="AH258" s="123"/>
      <c r="AI258" s="123"/>
      <c r="AJ258" s="123"/>
      <c r="AK258" s="123"/>
      <c r="AL258" s="123"/>
      <c r="AM258" s="123"/>
      <c r="AN258" s="123"/>
      <c r="AO258" s="123"/>
      <c r="AP258" s="123"/>
      <c r="AQ258" s="123"/>
      <c r="AR258" s="123"/>
      <c r="AS258" s="123"/>
      <c r="AT258" s="123"/>
      <c r="AU258" s="123"/>
      <c r="AV258" s="123"/>
      <c r="AW258" s="123"/>
      <c r="AX258" s="123"/>
    </row>
    <row r="259" spans="1:50" ht="20" customHeight="1" x14ac:dyDescent="0.2">
      <c r="P259" s="143" t="s">
        <v>117</v>
      </c>
      <c r="Q259" s="143" t="s">
        <v>117</v>
      </c>
      <c r="R259" s="143" t="s">
        <v>117</v>
      </c>
    </row>
    <row r="260" spans="1:50" ht="20" customHeight="1" x14ac:dyDescent="0.2">
      <c r="A260" s="198" t="s">
        <v>203</v>
      </c>
      <c r="B260" s="130"/>
      <c r="C260" s="130"/>
      <c r="D260" s="130"/>
      <c r="E260" s="130"/>
      <c r="F260" s="130"/>
      <c r="G260" s="130"/>
      <c r="H260" s="130"/>
      <c r="I260" s="130"/>
      <c r="J260" s="130"/>
      <c r="K260" s="130"/>
      <c r="L260" s="130"/>
      <c r="M260" s="130"/>
      <c r="N260" s="130"/>
      <c r="O260" s="130"/>
      <c r="P260" s="131" t="s">
        <v>199</v>
      </c>
      <c r="Q260" s="130"/>
      <c r="R260" s="130"/>
      <c r="S260" s="130"/>
      <c r="T260" s="130"/>
      <c r="V260" s="158"/>
      <c r="W260" s="158"/>
      <c r="X260" s="158"/>
      <c r="Y260" s="158"/>
      <c r="Z260" s="158"/>
      <c r="AA260" s="158"/>
      <c r="AB260" s="158"/>
      <c r="AC260" s="158"/>
      <c r="AD260" s="158"/>
      <c r="AE260" s="158"/>
      <c r="AF260" s="158"/>
      <c r="AG260" s="158"/>
      <c r="AH260" s="158"/>
      <c r="AI260" s="158"/>
      <c r="AJ260" s="158"/>
      <c r="AK260" s="158"/>
      <c r="AL260" s="158"/>
      <c r="AM260" s="158"/>
      <c r="AN260" s="158"/>
      <c r="AO260" s="158"/>
      <c r="AP260" s="158"/>
      <c r="AQ260" s="158"/>
      <c r="AR260" s="158"/>
      <c r="AS260" s="158"/>
      <c r="AT260" s="158"/>
      <c r="AU260" s="158"/>
      <c r="AV260" s="158"/>
      <c r="AW260" s="158"/>
      <c r="AX260" s="158"/>
    </row>
    <row r="261" spans="1:50" ht="20" customHeight="1" x14ac:dyDescent="0.2">
      <c r="A261" s="198"/>
      <c r="B261" s="130"/>
      <c r="C261" s="130"/>
      <c r="D261" s="130"/>
      <c r="E261" s="130"/>
      <c r="F261" s="130"/>
      <c r="G261" s="130"/>
      <c r="H261" s="130"/>
      <c r="I261" s="130"/>
      <c r="J261" s="130"/>
      <c r="K261" s="130"/>
      <c r="L261" s="130"/>
      <c r="M261" s="130"/>
      <c r="N261" s="130"/>
      <c r="O261" s="130"/>
      <c r="P261" s="133" t="s">
        <v>200</v>
      </c>
      <c r="Q261" s="130"/>
      <c r="R261" s="130"/>
      <c r="S261" s="130"/>
      <c r="T261" s="130"/>
      <c r="V261" s="158"/>
      <c r="W261" s="158"/>
      <c r="X261" s="158"/>
      <c r="Y261" s="158"/>
      <c r="Z261" s="158"/>
      <c r="AA261" s="158"/>
      <c r="AB261" s="158"/>
      <c r="AC261" s="158"/>
      <c r="AD261" s="158"/>
      <c r="AE261" s="158"/>
      <c r="AF261" s="158"/>
      <c r="AG261" s="158"/>
      <c r="AH261" s="158"/>
      <c r="AI261" s="158"/>
      <c r="AJ261" s="158"/>
      <c r="AK261" s="158"/>
      <c r="AL261" s="158"/>
      <c r="AM261" s="158"/>
      <c r="AN261" s="158"/>
      <c r="AO261" s="158"/>
      <c r="AP261" s="158"/>
      <c r="AQ261" s="158"/>
      <c r="AR261" s="158"/>
      <c r="AS261" s="158"/>
      <c r="AT261" s="158"/>
      <c r="AU261" s="158"/>
      <c r="AV261" s="158"/>
      <c r="AW261" s="158"/>
      <c r="AX261" s="158"/>
    </row>
    <row r="262" spans="1:50" ht="20" customHeight="1" x14ac:dyDescent="0.2">
      <c r="A262" s="198"/>
      <c r="B262" s="130"/>
      <c r="C262" s="130"/>
      <c r="D262" s="130"/>
      <c r="E262" s="130"/>
      <c r="F262" s="130"/>
      <c r="G262" s="130"/>
      <c r="H262" s="130"/>
      <c r="I262" s="130"/>
      <c r="J262" s="130"/>
      <c r="K262" s="130"/>
      <c r="L262" s="130"/>
      <c r="M262" s="130"/>
      <c r="N262" s="130"/>
      <c r="O262" s="130"/>
      <c r="P262" s="138" cm="1">
        <f t="array" ref="P262:R271">LN(Blueprint_ep1!P248:R257+0.000000001)</f>
        <v>-2.5855513395175285</v>
      </c>
      <c r="Q262" s="138">
        <v>-2.7155543145716483</v>
      </c>
      <c r="R262" s="138">
        <v>-2.7771308905274639</v>
      </c>
      <c r="S262" s="130"/>
      <c r="T262" s="130"/>
      <c r="V262" s="158"/>
      <c r="W262" s="158"/>
      <c r="X262" s="158"/>
      <c r="Y262" s="158"/>
      <c r="Z262" s="158"/>
      <c r="AA262" s="158"/>
      <c r="AB262" s="158"/>
      <c r="AC262" s="158"/>
      <c r="AD262" s="158"/>
      <c r="AE262" s="158"/>
      <c r="AF262" s="158"/>
      <c r="AG262" s="158"/>
      <c r="AH262" s="158"/>
      <c r="AI262" s="158"/>
      <c r="AJ262" s="158"/>
      <c r="AK262" s="158"/>
      <c r="AL262" s="158"/>
      <c r="AM262" s="158"/>
      <c r="AN262" s="158"/>
      <c r="AO262" s="158"/>
      <c r="AP262" s="158"/>
      <c r="AQ262" s="158"/>
      <c r="AR262" s="158"/>
      <c r="AS262" s="158"/>
      <c r="AT262" s="158"/>
      <c r="AU262" s="158"/>
      <c r="AV262" s="158"/>
      <c r="AW262" s="158"/>
      <c r="AX262" s="158"/>
    </row>
    <row r="263" spans="1:50" ht="20" customHeight="1" x14ac:dyDescent="0.2">
      <c r="A263" s="198"/>
      <c r="B263" s="130"/>
      <c r="C263" s="130"/>
      <c r="D263" s="130"/>
      <c r="E263" s="130"/>
      <c r="F263" s="130"/>
      <c r="G263" s="130"/>
      <c r="H263" s="130"/>
      <c r="I263" s="130"/>
      <c r="J263" s="130"/>
      <c r="K263" s="130"/>
      <c r="L263" s="130"/>
      <c r="M263" s="130"/>
      <c r="N263" s="130"/>
      <c r="O263" s="130"/>
      <c r="P263" s="139">
        <v>-2.0042836133559305</v>
      </c>
      <c r="Q263" s="139">
        <v>-2.0301881525698828</v>
      </c>
      <c r="R263" s="139">
        <v>-2.1097695521827302</v>
      </c>
      <c r="S263" s="130"/>
      <c r="T263" s="130"/>
      <c r="V263" s="158"/>
      <c r="W263" s="158"/>
      <c r="X263" s="158"/>
      <c r="Y263" s="158"/>
      <c r="Z263" s="158"/>
      <c r="AA263" s="158"/>
      <c r="AB263" s="158"/>
      <c r="AC263" s="158"/>
      <c r="AD263" s="158"/>
      <c r="AE263" s="158"/>
      <c r="AF263" s="158"/>
      <c r="AG263" s="158"/>
      <c r="AH263" s="158"/>
      <c r="AI263" s="158"/>
      <c r="AJ263" s="158"/>
      <c r="AK263" s="158"/>
      <c r="AL263" s="158"/>
      <c r="AM263" s="158"/>
      <c r="AN263" s="158"/>
      <c r="AO263" s="158"/>
      <c r="AP263" s="158"/>
      <c r="AQ263" s="158"/>
      <c r="AR263" s="158"/>
      <c r="AS263" s="158"/>
      <c r="AT263" s="158"/>
      <c r="AU263" s="158"/>
      <c r="AV263" s="158"/>
      <c r="AW263" s="158"/>
      <c r="AX263" s="158"/>
    </row>
    <row r="264" spans="1:50" ht="20" customHeight="1" x14ac:dyDescent="0.2">
      <c r="A264" s="198"/>
      <c r="B264" s="130"/>
      <c r="C264" s="130"/>
      <c r="D264" s="130"/>
      <c r="E264" s="130"/>
      <c r="F264" s="130"/>
      <c r="G264" s="130"/>
      <c r="H264" s="130"/>
      <c r="I264" s="130"/>
      <c r="J264" s="130"/>
      <c r="K264" s="130"/>
      <c r="L264" s="130"/>
      <c r="M264" s="130"/>
      <c r="N264" s="130"/>
      <c r="O264" s="130"/>
      <c r="P264" s="139">
        <v>-2.5942921148701652</v>
      </c>
      <c r="Q264" s="139">
        <v>-2.6187920257747623</v>
      </c>
      <c r="R264" s="139">
        <v>-2.5438674695792214</v>
      </c>
      <c r="S264" s="130"/>
      <c r="T264" s="130"/>
      <c r="V264" s="158"/>
      <c r="W264" s="158"/>
      <c r="X264" s="158"/>
      <c r="Y264" s="158"/>
      <c r="Z264" s="158"/>
      <c r="AA264" s="158"/>
      <c r="AB264" s="158"/>
      <c r="AC264" s="158"/>
      <c r="AD264" s="158"/>
      <c r="AE264" s="158"/>
      <c r="AF264" s="158"/>
      <c r="AG264" s="158"/>
      <c r="AH264" s="158"/>
      <c r="AI264" s="158"/>
      <c r="AJ264" s="158"/>
      <c r="AK264" s="158"/>
      <c r="AL264" s="158"/>
      <c r="AM264" s="158"/>
      <c r="AN264" s="158"/>
      <c r="AO264" s="158"/>
      <c r="AP264" s="158"/>
      <c r="AQ264" s="158"/>
      <c r="AR264" s="158"/>
      <c r="AS264" s="158"/>
      <c r="AT264" s="158"/>
      <c r="AU264" s="158"/>
      <c r="AV264" s="158"/>
      <c r="AW264" s="158"/>
      <c r="AX264" s="158"/>
    </row>
    <row r="265" spans="1:50" ht="20" customHeight="1" x14ac:dyDescent="0.2">
      <c r="A265" s="198"/>
      <c r="B265" s="130"/>
      <c r="C265" s="130"/>
      <c r="D265" s="130"/>
      <c r="E265" s="130"/>
      <c r="F265" s="130"/>
      <c r="G265" s="130"/>
      <c r="H265" s="130"/>
      <c r="I265" s="130"/>
      <c r="J265" s="130"/>
      <c r="K265" s="130"/>
      <c r="L265" s="130"/>
      <c r="M265" s="130"/>
      <c r="N265" s="130"/>
      <c r="O265" s="130"/>
      <c r="P265" s="139">
        <v>-2.24527521386874</v>
      </c>
      <c r="Q265" s="139">
        <v>-2.6204925248046562</v>
      </c>
      <c r="R265" s="139">
        <v>-2.7357745960777597</v>
      </c>
      <c r="S265" s="130"/>
      <c r="T265" s="130"/>
      <c r="V265" s="158"/>
      <c r="W265" s="158"/>
      <c r="X265" s="158"/>
      <c r="Y265" s="158"/>
      <c r="Z265" s="158"/>
      <c r="AA265" s="158"/>
      <c r="AB265" s="158"/>
      <c r="AC265" s="158"/>
      <c r="AD265" s="158"/>
      <c r="AE265" s="158"/>
      <c r="AF265" s="158"/>
      <c r="AG265" s="158"/>
      <c r="AH265" s="158"/>
      <c r="AI265" s="158"/>
      <c r="AJ265" s="158"/>
      <c r="AK265" s="158"/>
      <c r="AL265" s="158"/>
      <c r="AM265" s="158"/>
      <c r="AN265" s="158"/>
      <c r="AO265" s="158"/>
      <c r="AP265" s="158"/>
      <c r="AQ265" s="158"/>
      <c r="AR265" s="158"/>
      <c r="AS265" s="158"/>
      <c r="AT265" s="158"/>
      <c r="AU265" s="158"/>
      <c r="AV265" s="158"/>
      <c r="AW265" s="158"/>
      <c r="AX265" s="158"/>
    </row>
    <row r="266" spans="1:50" ht="20" customHeight="1" x14ac:dyDescent="0.2">
      <c r="A266" s="198"/>
      <c r="B266" s="130"/>
      <c r="C266" s="130"/>
      <c r="D266" s="130"/>
      <c r="E266" s="130"/>
      <c r="F266" s="130"/>
      <c r="G266" s="130"/>
      <c r="H266" s="130"/>
      <c r="I266" s="130"/>
      <c r="J266" s="130"/>
      <c r="K266" s="130"/>
      <c r="L266" s="130"/>
      <c r="M266" s="130"/>
      <c r="N266" s="130"/>
      <c r="O266" s="130"/>
      <c r="P266" s="139">
        <v>-2.5776031016839598</v>
      </c>
      <c r="Q266" s="139">
        <v>-2.6636290912615257</v>
      </c>
      <c r="R266" s="139">
        <v>-2.7480670842949055</v>
      </c>
      <c r="S266" s="130"/>
      <c r="T266" s="130"/>
      <c r="V266" s="158"/>
      <c r="W266" s="158"/>
      <c r="X266" s="158"/>
      <c r="Y266" s="158"/>
      <c r="Z266" s="158"/>
      <c r="AA266" s="158"/>
      <c r="AB266" s="158"/>
      <c r="AC266" s="158"/>
      <c r="AD266" s="158"/>
      <c r="AE266" s="158"/>
      <c r="AF266" s="158"/>
      <c r="AG266" s="158"/>
      <c r="AH266" s="158"/>
      <c r="AI266" s="158"/>
      <c r="AJ266" s="158"/>
      <c r="AK266" s="158"/>
      <c r="AL266" s="158"/>
      <c r="AM266" s="158"/>
      <c r="AN266" s="158"/>
      <c r="AO266" s="158"/>
      <c r="AP266" s="158"/>
      <c r="AQ266" s="158"/>
      <c r="AR266" s="158"/>
      <c r="AS266" s="158"/>
      <c r="AT266" s="158"/>
      <c r="AU266" s="158"/>
      <c r="AV266" s="158"/>
      <c r="AW266" s="158"/>
      <c r="AX266" s="158"/>
    </row>
    <row r="267" spans="1:50" ht="20" customHeight="1" x14ac:dyDescent="0.2">
      <c r="A267" s="198"/>
      <c r="B267" s="130"/>
      <c r="C267" s="130"/>
      <c r="D267" s="130"/>
      <c r="E267" s="130"/>
      <c r="F267" s="130"/>
      <c r="G267" s="130"/>
      <c r="H267" s="130"/>
      <c r="I267" s="130"/>
      <c r="J267" s="130"/>
      <c r="K267" s="130"/>
      <c r="L267" s="130"/>
      <c r="M267" s="130"/>
      <c r="N267" s="130"/>
      <c r="O267" s="130"/>
      <c r="P267" s="139">
        <v>-2.5447177986855647</v>
      </c>
      <c r="Q267" s="139">
        <v>-2.7142966050505297</v>
      </c>
      <c r="R267" s="139">
        <v>-2.8158558808056582</v>
      </c>
      <c r="S267" s="130"/>
      <c r="T267" s="130"/>
      <c r="V267" s="158"/>
      <c r="W267" s="158"/>
      <c r="X267" s="158"/>
      <c r="Y267" s="158"/>
      <c r="Z267" s="158"/>
      <c r="AA267" s="158"/>
      <c r="AB267" s="158"/>
      <c r="AC267" s="158"/>
      <c r="AD267" s="158"/>
      <c r="AE267" s="158"/>
      <c r="AF267" s="158"/>
      <c r="AG267" s="158"/>
      <c r="AH267" s="158"/>
      <c r="AI267" s="158"/>
      <c r="AJ267" s="158"/>
      <c r="AK267" s="158"/>
      <c r="AL267" s="158"/>
      <c r="AM267" s="158"/>
      <c r="AN267" s="158"/>
      <c r="AO267" s="158"/>
      <c r="AP267" s="158"/>
      <c r="AQ267" s="158"/>
      <c r="AR267" s="158"/>
      <c r="AS267" s="158"/>
      <c r="AT267" s="158"/>
      <c r="AU267" s="158"/>
      <c r="AV267" s="158"/>
      <c r="AW267" s="158"/>
      <c r="AX267" s="158"/>
    </row>
    <row r="268" spans="1:50" ht="20" customHeight="1" x14ac:dyDescent="0.2">
      <c r="A268" s="198"/>
      <c r="B268" s="130"/>
      <c r="C268" s="130"/>
      <c r="D268" s="130"/>
      <c r="E268" s="130"/>
      <c r="F268" s="130"/>
      <c r="G268" s="130"/>
      <c r="H268" s="130"/>
      <c r="I268" s="130"/>
      <c r="J268" s="130"/>
      <c r="K268" s="130"/>
      <c r="L268" s="130"/>
      <c r="M268" s="130"/>
      <c r="N268" s="130"/>
      <c r="O268" s="130"/>
      <c r="P268" s="139">
        <v>-2.5872371338877769</v>
      </c>
      <c r="Q268" s="139">
        <v>-2.7195197328266634</v>
      </c>
      <c r="R268" s="139">
        <v>-2.7888722027465067</v>
      </c>
      <c r="S268" s="130"/>
      <c r="T268" s="130"/>
      <c r="V268" s="158"/>
      <c r="W268" s="158"/>
      <c r="X268" s="158"/>
      <c r="Y268" s="158"/>
      <c r="Z268" s="158"/>
      <c r="AA268" s="158"/>
      <c r="AB268" s="158"/>
      <c r="AC268" s="158"/>
      <c r="AD268" s="158"/>
      <c r="AE268" s="158"/>
      <c r="AF268" s="158"/>
      <c r="AG268" s="158"/>
      <c r="AH268" s="158"/>
      <c r="AI268" s="158"/>
      <c r="AJ268" s="158"/>
      <c r="AK268" s="158"/>
      <c r="AL268" s="158"/>
      <c r="AM268" s="158"/>
      <c r="AN268" s="158"/>
      <c r="AO268" s="158"/>
      <c r="AP268" s="158"/>
      <c r="AQ268" s="158"/>
      <c r="AR268" s="158"/>
      <c r="AS268" s="158"/>
      <c r="AT268" s="158"/>
      <c r="AU268" s="158"/>
      <c r="AV268" s="158"/>
      <c r="AW268" s="158"/>
      <c r="AX268" s="158"/>
    </row>
    <row r="269" spans="1:50" ht="20" customHeight="1" x14ac:dyDescent="0.2">
      <c r="A269" s="198"/>
      <c r="B269" s="130"/>
      <c r="C269" s="130"/>
      <c r="D269" s="130"/>
      <c r="E269" s="130"/>
      <c r="F269" s="130"/>
      <c r="G269" s="130"/>
      <c r="H269" s="130"/>
      <c r="I269" s="130"/>
      <c r="J269" s="130"/>
      <c r="K269" s="130"/>
      <c r="L269" s="130"/>
      <c r="M269" s="130"/>
      <c r="N269" s="130"/>
      <c r="O269" s="130"/>
      <c r="P269" s="139">
        <v>-2.4319804507730596</v>
      </c>
      <c r="Q269" s="139">
        <v>-2.7104085159572899</v>
      </c>
      <c r="R269" s="139">
        <v>-2.8164092315427856</v>
      </c>
      <c r="S269" s="130"/>
      <c r="T269" s="130"/>
      <c r="V269" s="158"/>
      <c r="W269" s="158"/>
      <c r="X269" s="158"/>
      <c r="Y269" s="158"/>
      <c r="Z269" s="158"/>
      <c r="AA269" s="158"/>
      <c r="AB269" s="158"/>
      <c r="AC269" s="158"/>
      <c r="AD269" s="158"/>
      <c r="AE269" s="158"/>
      <c r="AF269" s="158"/>
      <c r="AG269" s="158"/>
      <c r="AH269" s="158"/>
      <c r="AI269" s="158"/>
      <c r="AJ269" s="158"/>
      <c r="AK269" s="158"/>
      <c r="AL269" s="158"/>
      <c r="AM269" s="158"/>
      <c r="AN269" s="158"/>
      <c r="AO269" s="158"/>
      <c r="AP269" s="158"/>
      <c r="AQ269" s="158"/>
      <c r="AR269" s="158"/>
      <c r="AS269" s="158"/>
      <c r="AT269" s="158"/>
      <c r="AU269" s="158"/>
      <c r="AV269" s="158"/>
      <c r="AW269" s="158"/>
      <c r="AX269" s="158"/>
    </row>
    <row r="270" spans="1:50" ht="20" customHeight="1" x14ac:dyDescent="0.2">
      <c r="A270" s="198"/>
      <c r="B270" s="130"/>
      <c r="C270" s="130"/>
      <c r="D270" s="130"/>
      <c r="E270" s="130"/>
      <c r="F270" s="130"/>
      <c r="G270" s="130"/>
      <c r="H270" s="130"/>
      <c r="I270" s="130"/>
      <c r="J270" s="130"/>
      <c r="K270" s="130"/>
      <c r="L270" s="130"/>
      <c r="M270" s="130"/>
      <c r="N270" s="130"/>
      <c r="O270" s="130"/>
      <c r="P270" s="139">
        <v>-1.7462896479720842</v>
      </c>
      <c r="Q270" s="139">
        <v>-1.6479596490525366</v>
      </c>
      <c r="R270" s="139">
        <v>-1.7296629724144497</v>
      </c>
      <c r="S270" s="130"/>
      <c r="T270" s="130"/>
      <c r="V270" s="158"/>
      <c r="W270" s="158"/>
      <c r="X270" s="158"/>
      <c r="Y270" s="158"/>
      <c r="Z270" s="158"/>
      <c r="AA270" s="158"/>
      <c r="AB270" s="158"/>
      <c r="AC270" s="158"/>
      <c r="AD270" s="158"/>
      <c r="AE270" s="158"/>
      <c r="AF270" s="158"/>
      <c r="AG270" s="158"/>
      <c r="AH270" s="158"/>
      <c r="AI270" s="158"/>
      <c r="AJ270" s="158"/>
      <c r="AK270" s="158"/>
      <c r="AL270" s="158"/>
      <c r="AM270" s="158"/>
      <c r="AN270" s="158"/>
      <c r="AO270" s="158"/>
      <c r="AP270" s="158"/>
      <c r="AQ270" s="158"/>
      <c r="AR270" s="158"/>
      <c r="AS270" s="158"/>
      <c r="AT270" s="158"/>
      <c r="AU270" s="158"/>
      <c r="AV270" s="158"/>
      <c r="AW270" s="158"/>
      <c r="AX270" s="158"/>
    </row>
    <row r="271" spans="1:50" ht="20" customHeight="1" x14ac:dyDescent="0.2">
      <c r="A271" s="198"/>
      <c r="B271" s="130"/>
      <c r="C271" s="130"/>
      <c r="D271" s="130"/>
      <c r="E271" s="130"/>
      <c r="F271" s="130"/>
      <c r="G271" s="130"/>
      <c r="H271" s="130"/>
      <c r="I271" s="130"/>
      <c r="J271" s="130"/>
      <c r="K271" s="130"/>
      <c r="L271" s="130"/>
      <c r="M271" s="130"/>
      <c r="N271" s="130"/>
      <c r="O271" s="130"/>
      <c r="P271" s="140">
        <v>-2.1427617017522209</v>
      </c>
      <c r="Q271" s="140">
        <v>-1.629342198896075</v>
      </c>
      <c r="R271" s="140">
        <v>-1.3840906373022577</v>
      </c>
      <c r="S271" s="130"/>
      <c r="T271" s="130"/>
      <c r="V271" s="158"/>
      <c r="W271" s="158"/>
      <c r="X271" s="158"/>
      <c r="Y271" s="158"/>
      <c r="Z271" s="158"/>
      <c r="AA271" s="158"/>
      <c r="AB271" s="158"/>
      <c r="AC271" s="158"/>
      <c r="AD271" s="158"/>
      <c r="AE271" s="158"/>
      <c r="AF271" s="158"/>
      <c r="AG271" s="158"/>
      <c r="AH271" s="158"/>
      <c r="AI271" s="158"/>
      <c r="AJ271" s="158"/>
      <c r="AK271" s="158"/>
      <c r="AL271" s="158"/>
      <c r="AM271" s="158"/>
      <c r="AN271" s="158"/>
      <c r="AO271" s="158"/>
      <c r="AP271" s="158"/>
      <c r="AQ271" s="158"/>
      <c r="AR271" s="158"/>
      <c r="AS271" s="158"/>
      <c r="AT271" s="158"/>
      <c r="AU271" s="158"/>
      <c r="AV271" s="158"/>
      <c r="AW271" s="158"/>
      <c r="AX271" s="158"/>
    </row>
    <row r="272" spans="1:50" ht="20" customHeight="1" x14ac:dyDescent="0.2">
      <c r="A272" s="198"/>
      <c r="B272" s="130"/>
      <c r="C272" s="130"/>
      <c r="D272" s="130"/>
      <c r="E272" s="130"/>
      <c r="F272" s="130"/>
      <c r="G272" s="130"/>
      <c r="H272" s="130"/>
      <c r="I272" s="130"/>
      <c r="J272" s="130"/>
      <c r="K272" s="130"/>
      <c r="L272" s="130"/>
      <c r="M272" s="130"/>
      <c r="N272" s="130"/>
      <c r="O272" s="130"/>
      <c r="P272" s="133" t="s">
        <v>124</v>
      </c>
      <c r="Q272" s="130"/>
      <c r="R272" s="130"/>
      <c r="S272" s="130"/>
      <c r="T272" s="130"/>
      <c r="V272" s="158"/>
      <c r="W272" s="158"/>
      <c r="X272" s="158"/>
      <c r="Y272" s="158"/>
      <c r="Z272" s="158"/>
      <c r="AA272" s="158"/>
      <c r="AB272" s="158"/>
      <c r="AC272" s="158"/>
      <c r="AD272" s="158"/>
      <c r="AE272" s="158"/>
      <c r="AF272" s="158"/>
      <c r="AG272" s="158"/>
      <c r="AH272" s="158"/>
      <c r="AI272" s="158"/>
      <c r="AJ272" s="158"/>
      <c r="AK272" s="158"/>
      <c r="AL272" s="158"/>
      <c r="AM272" s="158"/>
      <c r="AN272" s="158"/>
      <c r="AO272" s="158"/>
      <c r="AP272" s="158"/>
      <c r="AQ272" s="158"/>
      <c r="AR272" s="158"/>
      <c r="AS272" s="158"/>
      <c r="AT272" s="158"/>
      <c r="AU272" s="158"/>
      <c r="AV272" s="158"/>
      <c r="AW272" s="158"/>
      <c r="AX272" s="158"/>
    </row>
    <row r="273" spans="1:50" ht="20" customHeight="1" x14ac:dyDescent="0.2">
      <c r="A273" s="198"/>
      <c r="B273" s="130"/>
      <c r="C273" s="130"/>
      <c r="D273" s="130"/>
      <c r="E273" s="130"/>
      <c r="F273" s="130"/>
      <c r="G273" s="130"/>
      <c r="H273" s="130"/>
      <c r="I273" s="130"/>
      <c r="J273" s="130"/>
      <c r="K273" s="130"/>
      <c r="L273" s="130"/>
      <c r="M273" s="130"/>
      <c r="N273" s="130"/>
      <c r="O273" s="130"/>
      <c r="P273" s="138" cm="1">
        <f t="array" ref="P273:R282">Blueprint_ep1!P16:R25*Blueprint_ep1!P262:R271</f>
        <v>0</v>
      </c>
      <c r="Q273" s="138">
        <v>0</v>
      </c>
      <c r="R273" s="138">
        <v>0</v>
      </c>
      <c r="S273" s="130"/>
      <c r="T273" s="130"/>
      <c r="V273" s="158"/>
      <c r="W273" s="158"/>
      <c r="X273" s="158"/>
      <c r="Y273" s="158"/>
      <c r="Z273" s="158"/>
      <c r="AA273" s="158"/>
      <c r="AB273" s="158"/>
      <c r="AC273" s="158"/>
      <c r="AD273" s="158"/>
      <c r="AE273" s="158"/>
      <c r="AF273" s="158"/>
      <c r="AG273" s="158"/>
      <c r="AH273" s="158"/>
      <c r="AI273" s="158"/>
      <c r="AJ273" s="158"/>
      <c r="AK273" s="158"/>
      <c r="AL273" s="158"/>
      <c r="AM273" s="158"/>
      <c r="AN273" s="158"/>
      <c r="AO273" s="158"/>
      <c r="AP273" s="158"/>
      <c r="AQ273" s="158"/>
      <c r="AR273" s="158"/>
      <c r="AS273" s="158"/>
      <c r="AT273" s="158"/>
      <c r="AU273" s="158"/>
      <c r="AV273" s="158"/>
      <c r="AW273" s="158"/>
      <c r="AX273" s="158"/>
    </row>
    <row r="274" spans="1:50" ht="20" customHeight="1" x14ac:dyDescent="0.2">
      <c r="A274" s="198"/>
      <c r="B274" s="130"/>
      <c r="C274" s="130"/>
      <c r="D274" s="130"/>
      <c r="E274" s="130"/>
      <c r="F274" s="130"/>
      <c r="G274" s="130"/>
      <c r="H274" s="130"/>
      <c r="I274" s="130"/>
      <c r="J274" s="130"/>
      <c r="K274" s="130"/>
      <c r="L274" s="130"/>
      <c r="M274" s="130"/>
      <c r="N274" s="130"/>
      <c r="O274" s="130"/>
      <c r="P274" s="139">
        <v>0</v>
      </c>
      <c r="Q274" s="139">
        <v>0</v>
      </c>
      <c r="R274" s="139">
        <v>0</v>
      </c>
      <c r="S274" s="130"/>
      <c r="T274" s="130"/>
      <c r="V274" s="158"/>
      <c r="W274" s="158"/>
      <c r="X274" s="158"/>
      <c r="Y274" s="158"/>
      <c r="Z274" s="158"/>
      <c r="AA274" s="158"/>
      <c r="AB274" s="158"/>
      <c r="AC274" s="158"/>
      <c r="AD274" s="158"/>
      <c r="AE274" s="158"/>
      <c r="AF274" s="158"/>
      <c r="AG274" s="158"/>
      <c r="AH274" s="158"/>
      <c r="AI274" s="158"/>
      <c r="AJ274" s="158"/>
      <c r="AK274" s="158"/>
      <c r="AL274" s="158"/>
      <c r="AM274" s="158"/>
      <c r="AN274" s="158"/>
      <c r="AO274" s="158"/>
      <c r="AP274" s="158"/>
      <c r="AQ274" s="158"/>
      <c r="AR274" s="158"/>
      <c r="AS274" s="158"/>
      <c r="AT274" s="158"/>
      <c r="AU274" s="158"/>
      <c r="AV274" s="158"/>
      <c r="AW274" s="158"/>
      <c r="AX274" s="158"/>
    </row>
    <row r="275" spans="1:50" ht="20" customHeight="1" x14ac:dyDescent="0.2">
      <c r="A275" s="198"/>
      <c r="B275" s="130"/>
      <c r="C275" s="130"/>
      <c r="D275" s="130"/>
      <c r="E275" s="130"/>
      <c r="F275" s="130"/>
      <c r="G275" s="130"/>
      <c r="H275" s="130"/>
      <c r="I275" s="130"/>
      <c r="J275" s="130"/>
      <c r="K275" s="130"/>
      <c r="L275" s="130"/>
      <c r="M275" s="130"/>
      <c r="N275" s="130"/>
      <c r="O275" s="130"/>
      <c r="P275" s="139">
        <v>0</v>
      </c>
      <c r="Q275" s="139">
        <v>0</v>
      </c>
      <c r="R275" s="139">
        <v>0</v>
      </c>
      <c r="S275" s="130"/>
      <c r="T275" s="130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8"/>
      <c r="AF275" s="158"/>
      <c r="AG275" s="158"/>
      <c r="AH275" s="158"/>
      <c r="AI275" s="158"/>
      <c r="AJ275" s="158"/>
      <c r="AK275" s="158"/>
      <c r="AL275" s="158"/>
      <c r="AM275" s="158"/>
      <c r="AN275" s="158"/>
      <c r="AO275" s="158"/>
      <c r="AP275" s="158"/>
      <c r="AQ275" s="158"/>
      <c r="AR275" s="158"/>
      <c r="AS275" s="158"/>
      <c r="AT275" s="158"/>
      <c r="AU275" s="158"/>
      <c r="AV275" s="158"/>
      <c r="AW275" s="158"/>
      <c r="AX275" s="158"/>
    </row>
    <row r="276" spans="1:50" ht="20" customHeight="1" x14ac:dyDescent="0.2">
      <c r="A276" s="198"/>
      <c r="B276" s="130"/>
      <c r="C276" s="130"/>
      <c r="D276" s="130"/>
      <c r="E276" s="130"/>
      <c r="F276" s="130"/>
      <c r="G276" s="130"/>
      <c r="H276" s="130"/>
      <c r="I276" s="130"/>
      <c r="J276" s="130"/>
      <c r="K276" s="130"/>
      <c r="L276" s="130"/>
      <c r="M276" s="130"/>
      <c r="N276" s="130"/>
      <c r="O276" s="130"/>
      <c r="P276" s="139">
        <v>0</v>
      </c>
      <c r="Q276" s="139">
        <v>0</v>
      </c>
      <c r="R276" s="139">
        <v>0</v>
      </c>
      <c r="S276" s="130"/>
      <c r="T276" s="130"/>
      <c r="V276" s="158"/>
      <c r="W276" s="158"/>
      <c r="X276" s="158"/>
      <c r="Y276" s="158"/>
      <c r="Z276" s="158"/>
      <c r="AA276" s="158"/>
      <c r="AB276" s="158"/>
      <c r="AC276" s="158"/>
      <c r="AD276" s="158"/>
      <c r="AE276" s="158"/>
      <c r="AF276" s="158"/>
      <c r="AG276" s="158"/>
      <c r="AH276" s="158"/>
      <c r="AI276" s="158"/>
      <c r="AJ276" s="158"/>
      <c r="AK276" s="158"/>
      <c r="AL276" s="158"/>
      <c r="AM276" s="158"/>
      <c r="AN276" s="158"/>
      <c r="AO276" s="158"/>
      <c r="AP276" s="158"/>
      <c r="AQ276" s="158"/>
      <c r="AR276" s="158"/>
      <c r="AS276" s="158"/>
      <c r="AT276" s="158"/>
      <c r="AU276" s="158"/>
      <c r="AV276" s="158"/>
      <c r="AW276" s="158"/>
      <c r="AX276" s="158"/>
    </row>
    <row r="277" spans="1:50" ht="20" customHeight="1" x14ac:dyDescent="0.2">
      <c r="A277" s="198"/>
      <c r="B277" s="130"/>
      <c r="C277" s="130"/>
      <c r="D277" s="130"/>
      <c r="E277" s="130"/>
      <c r="F277" s="130"/>
      <c r="G277" s="130"/>
      <c r="H277" s="130"/>
      <c r="I277" s="130"/>
      <c r="J277" s="130"/>
      <c r="K277" s="130"/>
      <c r="L277" s="130"/>
      <c r="M277" s="130"/>
      <c r="N277" s="130"/>
      <c r="O277" s="130"/>
      <c r="P277" s="139">
        <v>0</v>
      </c>
      <c r="Q277" s="139">
        <v>0</v>
      </c>
      <c r="R277" s="139">
        <v>0</v>
      </c>
      <c r="S277" s="130"/>
      <c r="T277" s="130"/>
      <c r="V277" s="158"/>
      <c r="W277" s="158"/>
      <c r="X277" s="158"/>
      <c r="Y277" s="158"/>
      <c r="Z277" s="158"/>
      <c r="AA277" s="158"/>
      <c r="AB277" s="158"/>
      <c r="AC277" s="158"/>
      <c r="AD277" s="158"/>
      <c r="AE277" s="158"/>
      <c r="AF277" s="158"/>
      <c r="AG277" s="158"/>
      <c r="AH277" s="158"/>
      <c r="AI277" s="158"/>
      <c r="AJ277" s="158"/>
      <c r="AK277" s="158"/>
      <c r="AL277" s="158"/>
      <c r="AM277" s="158"/>
      <c r="AN277" s="158"/>
      <c r="AO277" s="158"/>
      <c r="AP277" s="158"/>
      <c r="AQ277" s="158"/>
      <c r="AR277" s="158"/>
      <c r="AS277" s="158"/>
      <c r="AT277" s="158"/>
      <c r="AU277" s="158"/>
      <c r="AV277" s="158"/>
      <c r="AW277" s="158"/>
      <c r="AX277" s="158"/>
    </row>
    <row r="278" spans="1:50" ht="20" customHeight="1" x14ac:dyDescent="0.2">
      <c r="A278" s="198"/>
      <c r="B278" s="130"/>
      <c r="C278" s="130"/>
      <c r="D278" s="130"/>
      <c r="E278" s="130"/>
      <c r="F278" s="130"/>
      <c r="G278" s="130"/>
      <c r="H278" s="130"/>
      <c r="I278" s="130"/>
      <c r="J278" s="130"/>
      <c r="K278" s="130"/>
      <c r="L278" s="130"/>
      <c r="M278" s="130"/>
      <c r="N278" s="130"/>
      <c r="O278" s="130"/>
      <c r="P278" s="139">
        <v>-2.5447177986855647</v>
      </c>
      <c r="Q278" s="139">
        <v>0</v>
      </c>
      <c r="R278" s="139">
        <v>0</v>
      </c>
      <c r="S278" s="130"/>
      <c r="T278" s="130"/>
      <c r="V278" s="158"/>
      <c r="W278" s="158"/>
      <c r="X278" s="158"/>
      <c r="Y278" s="158"/>
      <c r="Z278" s="158"/>
      <c r="AA278" s="158"/>
      <c r="AB278" s="158"/>
      <c r="AC278" s="158"/>
      <c r="AD278" s="158"/>
      <c r="AE278" s="158"/>
      <c r="AF278" s="158"/>
      <c r="AG278" s="158"/>
      <c r="AH278" s="158"/>
      <c r="AI278" s="158"/>
      <c r="AJ278" s="158"/>
      <c r="AK278" s="158"/>
      <c r="AL278" s="158"/>
      <c r="AM278" s="158"/>
      <c r="AN278" s="158"/>
      <c r="AO278" s="158"/>
      <c r="AP278" s="158"/>
      <c r="AQ278" s="158"/>
      <c r="AR278" s="158"/>
      <c r="AS278" s="158"/>
      <c r="AT278" s="158"/>
      <c r="AU278" s="158"/>
      <c r="AV278" s="158"/>
      <c r="AW278" s="158"/>
      <c r="AX278" s="158"/>
    </row>
    <row r="279" spans="1:50" ht="20" customHeight="1" x14ac:dyDescent="0.2">
      <c r="A279" s="198"/>
      <c r="B279" s="130"/>
      <c r="C279" s="130"/>
      <c r="D279" s="130"/>
      <c r="E279" s="130"/>
      <c r="F279" s="130"/>
      <c r="G279" s="130"/>
      <c r="H279" s="130"/>
      <c r="I279" s="130"/>
      <c r="J279" s="130"/>
      <c r="K279" s="130"/>
      <c r="L279" s="130"/>
      <c r="M279" s="130"/>
      <c r="N279" s="130"/>
      <c r="O279" s="130"/>
      <c r="P279" s="139">
        <v>0</v>
      </c>
      <c r="Q279" s="139">
        <v>0</v>
      </c>
      <c r="R279" s="139">
        <v>0</v>
      </c>
      <c r="S279" s="130"/>
      <c r="T279" s="130"/>
      <c r="V279" s="158"/>
      <c r="W279" s="158"/>
      <c r="X279" s="158"/>
      <c r="Y279" s="158"/>
      <c r="Z279" s="158"/>
      <c r="AA279" s="158"/>
      <c r="AB279" s="158"/>
      <c r="AC279" s="158"/>
      <c r="AD279" s="158"/>
      <c r="AE279" s="158"/>
      <c r="AF279" s="158"/>
      <c r="AG279" s="158"/>
      <c r="AH279" s="158"/>
      <c r="AI279" s="158"/>
      <c r="AJ279" s="158"/>
      <c r="AK279" s="158"/>
      <c r="AL279" s="158"/>
      <c r="AM279" s="158"/>
      <c r="AN279" s="158"/>
      <c r="AO279" s="158"/>
      <c r="AP279" s="158"/>
      <c r="AQ279" s="158"/>
      <c r="AR279" s="158"/>
      <c r="AS279" s="158"/>
      <c r="AT279" s="158"/>
      <c r="AU279" s="158"/>
      <c r="AV279" s="158"/>
      <c r="AW279" s="158"/>
      <c r="AX279" s="158"/>
    </row>
    <row r="280" spans="1:50" ht="20" customHeight="1" x14ac:dyDescent="0.2">
      <c r="A280" s="198"/>
      <c r="B280" s="130"/>
      <c r="C280" s="130"/>
      <c r="D280" s="130"/>
      <c r="E280" s="130"/>
      <c r="F280" s="130"/>
      <c r="G280" s="130"/>
      <c r="H280" s="130"/>
      <c r="I280" s="130"/>
      <c r="J280" s="130"/>
      <c r="K280" s="130"/>
      <c r="L280" s="130"/>
      <c r="M280" s="130"/>
      <c r="N280" s="130"/>
      <c r="O280" s="130"/>
      <c r="P280" s="139">
        <v>0</v>
      </c>
      <c r="Q280" s="139">
        <v>0</v>
      </c>
      <c r="R280" s="139">
        <v>0</v>
      </c>
      <c r="S280" s="130"/>
      <c r="T280" s="130"/>
      <c r="V280" s="158"/>
      <c r="W280" s="158"/>
      <c r="X280" s="158"/>
      <c r="Y280" s="158"/>
      <c r="Z280" s="158"/>
      <c r="AA280" s="158"/>
      <c r="AB280" s="158"/>
      <c r="AC280" s="158"/>
      <c r="AD280" s="158"/>
      <c r="AE280" s="158"/>
      <c r="AF280" s="158"/>
      <c r="AG280" s="158"/>
      <c r="AH280" s="158"/>
      <c r="AI280" s="158"/>
      <c r="AJ280" s="158"/>
      <c r="AK280" s="158"/>
      <c r="AL280" s="158"/>
      <c r="AM280" s="158"/>
      <c r="AN280" s="158"/>
      <c r="AO280" s="158"/>
      <c r="AP280" s="158"/>
      <c r="AQ280" s="158"/>
      <c r="AR280" s="158"/>
      <c r="AS280" s="158"/>
      <c r="AT280" s="158"/>
      <c r="AU280" s="158"/>
      <c r="AV280" s="158"/>
      <c r="AW280" s="158"/>
      <c r="AX280" s="158"/>
    </row>
    <row r="281" spans="1:50" ht="20" customHeight="1" x14ac:dyDescent="0.2">
      <c r="A281" s="198"/>
      <c r="B281" s="130"/>
      <c r="C281" s="130"/>
      <c r="D281" s="130"/>
      <c r="E281" s="130"/>
      <c r="F281" s="130"/>
      <c r="G281" s="130"/>
      <c r="H281" s="130"/>
      <c r="I281" s="130"/>
      <c r="J281" s="130"/>
      <c r="K281" s="130"/>
      <c r="L281" s="130"/>
      <c r="M281" s="130"/>
      <c r="N281" s="130"/>
      <c r="O281" s="130"/>
      <c r="P281" s="139">
        <v>0</v>
      </c>
      <c r="Q281" s="139">
        <v>-1.6479596490525366</v>
      </c>
      <c r="R281" s="139">
        <v>-1.7296629724144497</v>
      </c>
      <c r="S281" s="130"/>
      <c r="T281" s="130"/>
      <c r="V281" s="158"/>
      <c r="W281" s="158"/>
      <c r="X281" s="158"/>
      <c r="Y281" s="158"/>
      <c r="Z281" s="158"/>
      <c r="AA281" s="158"/>
      <c r="AB281" s="158"/>
      <c r="AC281" s="158"/>
      <c r="AD281" s="158"/>
      <c r="AE281" s="158"/>
      <c r="AF281" s="158"/>
      <c r="AG281" s="158"/>
      <c r="AH281" s="158"/>
      <c r="AI281" s="158"/>
      <c r="AJ281" s="158"/>
      <c r="AK281" s="158"/>
      <c r="AL281" s="158"/>
      <c r="AM281" s="158"/>
      <c r="AN281" s="158"/>
      <c r="AO281" s="158"/>
      <c r="AP281" s="158"/>
      <c r="AQ281" s="158"/>
      <c r="AR281" s="158"/>
      <c r="AS281" s="158"/>
      <c r="AT281" s="158"/>
      <c r="AU281" s="158"/>
      <c r="AV281" s="158"/>
      <c r="AW281" s="158"/>
      <c r="AX281" s="158"/>
    </row>
    <row r="282" spans="1:50" ht="20" customHeight="1" x14ac:dyDescent="0.2">
      <c r="A282" s="198"/>
      <c r="B282" s="130"/>
      <c r="C282" s="130"/>
      <c r="D282" s="130"/>
      <c r="E282" s="130"/>
      <c r="F282" s="130"/>
      <c r="G282" s="130"/>
      <c r="H282" s="130"/>
      <c r="I282" s="130"/>
      <c r="J282" s="130"/>
      <c r="K282" s="130"/>
      <c r="L282" s="130"/>
      <c r="M282" s="130"/>
      <c r="N282" s="130"/>
      <c r="O282" s="130"/>
      <c r="P282" s="140">
        <v>0</v>
      </c>
      <c r="Q282" s="140">
        <v>0</v>
      </c>
      <c r="R282" s="140">
        <v>0</v>
      </c>
      <c r="S282" s="130"/>
      <c r="T282" s="130"/>
      <c r="V282" s="158"/>
      <c r="W282" s="158"/>
      <c r="X282" s="158"/>
      <c r="Y282" s="158"/>
      <c r="Z282" s="158"/>
      <c r="AA282" s="158"/>
      <c r="AB282" s="158"/>
      <c r="AC282" s="158"/>
      <c r="AD282" s="158"/>
      <c r="AE282" s="158"/>
      <c r="AF282" s="158"/>
      <c r="AG282" s="158"/>
      <c r="AH282" s="158"/>
      <c r="AI282" s="158"/>
      <c r="AJ282" s="158"/>
      <c r="AK282" s="158"/>
      <c r="AL282" s="158"/>
      <c r="AM282" s="158"/>
      <c r="AN282" s="158"/>
      <c r="AO282" s="158"/>
      <c r="AP282" s="158"/>
      <c r="AQ282" s="158"/>
      <c r="AR282" s="158"/>
      <c r="AS282" s="158"/>
      <c r="AT282" s="158"/>
      <c r="AU282" s="158"/>
      <c r="AV282" s="158"/>
      <c r="AW282" s="158"/>
      <c r="AX282" s="158"/>
    </row>
    <row r="283" spans="1:50" ht="20" customHeight="1" x14ac:dyDescent="0.2">
      <c r="A283" s="198"/>
      <c r="B283" s="130"/>
      <c r="C283" s="130"/>
      <c r="D283" s="130"/>
      <c r="E283" s="130"/>
      <c r="F283" s="130"/>
      <c r="G283" s="130"/>
      <c r="H283" s="130"/>
      <c r="I283" s="130"/>
      <c r="J283" s="130"/>
      <c r="K283" s="130"/>
      <c r="L283" s="130"/>
      <c r="M283" s="130"/>
      <c r="N283" s="130"/>
      <c r="O283" s="130"/>
      <c r="P283" s="133" t="s">
        <v>201</v>
      </c>
      <c r="Q283" s="130"/>
      <c r="R283" s="130"/>
      <c r="S283" s="130"/>
      <c r="T283" s="130"/>
      <c r="V283" s="158"/>
      <c r="W283" s="158"/>
      <c r="X283" s="158"/>
      <c r="Y283" s="158"/>
      <c r="Z283" s="158"/>
      <c r="AA283" s="158"/>
      <c r="AB283" s="158"/>
      <c r="AC283" s="158"/>
      <c r="AD283" s="158"/>
      <c r="AE283" s="158"/>
      <c r="AF283" s="158"/>
      <c r="AG283" s="158"/>
      <c r="AH283" s="158"/>
      <c r="AI283" s="158"/>
      <c r="AJ283" s="158"/>
      <c r="AK283" s="158"/>
      <c r="AL283" s="158"/>
      <c r="AM283" s="158"/>
      <c r="AN283" s="158"/>
      <c r="AO283" s="158"/>
      <c r="AP283" s="158"/>
      <c r="AQ283" s="158"/>
      <c r="AR283" s="158"/>
      <c r="AS283" s="158"/>
      <c r="AT283" s="158"/>
      <c r="AU283" s="158"/>
      <c r="AV283" s="158"/>
      <c r="AW283" s="158"/>
      <c r="AX283" s="158"/>
    </row>
    <row r="284" spans="1:50" ht="20" customHeight="1" x14ac:dyDescent="0.2">
      <c r="A284" s="198"/>
      <c r="B284" s="130"/>
      <c r="C284" s="130"/>
      <c r="D284" s="130"/>
      <c r="E284" s="130"/>
      <c r="F284" s="130"/>
      <c r="G284" s="130"/>
      <c r="H284" s="130"/>
      <c r="I284" s="130"/>
      <c r="J284" s="130"/>
      <c r="K284" s="130"/>
      <c r="L284" s="130"/>
      <c r="M284" s="130"/>
      <c r="N284" s="130"/>
      <c r="O284" s="130"/>
      <c r="P284" s="151" cm="1">
        <f t="array" ref="P284:R284">-_xlfn.BYCOL(Blueprint_ep1!P273:R282, _xlfn.LAMBDA(_xlpm.col, SUM(_xlpm.col)))</f>
        <v>2.5447177986855647</v>
      </c>
      <c r="Q284" s="151">
        <v>1.6479596490525366</v>
      </c>
      <c r="R284" s="151">
        <v>1.7296629724144497</v>
      </c>
      <c r="S284" s="130"/>
      <c r="T284" s="130"/>
      <c r="V284" s="158"/>
      <c r="W284" s="158"/>
      <c r="X284" s="158"/>
      <c r="Y284" s="158"/>
      <c r="Z284" s="158"/>
      <c r="AA284" s="158"/>
      <c r="AB284" s="158"/>
      <c r="AC284" s="158"/>
      <c r="AD284" s="158"/>
      <c r="AE284" s="158"/>
      <c r="AF284" s="158"/>
      <c r="AG284" s="158"/>
      <c r="AH284" s="158"/>
      <c r="AI284" s="158"/>
      <c r="AJ284" s="158"/>
      <c r="AK284" s="158"/>
      <c r="AL284" s="158"/>
      <c r="AM284" s="158"/>
      <c r="AN284" s="158"/>
      <c r="AO284" s="158"/>
      <c r="AP284" s="158"/>
      <c r="AQ284" s="158"/>
      <c r="AR284" s="158"/>
      <c r="AS284" s="158"/>
      <c r="AT284" s="158"/>
      <c r="AU284" s="158"/>
      <c r="AV284" s="158"/>
      <c r="AW284" s="158"/>
      <c r="AX284" s="158"/>
    </row>
    <row r="285" spans="1:50" ht="20" customHeight="1" x14ac:dyDescent="0.2">
      <c r="A285" s="198"/>
      <c r="B285" s="130"/>
      <c r="C285" s="130"/>
      <c r="D285" s="130"/>
      <c r="E285" s="130"/>
      <c r="F285" s="130"/>
      <c r="G285" s="130"/>
      <c r="H285" s="130"/>
      <c r="I285" s="130"/>
      <c r="J285" s="130"/>
      <c r="K285" s="130"/>
      <c r="L285" s="130"/>
      <c r="M285" s="130"/>
      <c r="N285" s="130"/>
      <c r="O285" s="130"/>
      <c r="P285" s="131" t="s">
        <v>202</v>
      </c>
      <c r="Q285" s="130"/>
      <c r="R285" s="130"/>
      <c r="S285" s="130"/>
      <c r="T285" s="130"/>
      <c r="V285" s="158"/>
      <c r="W285" s="158"/>
      <c r="X285" s="158"/>
      <c r="Y285" s="158"/>
      <c r="Z285" s="158"/>
      <c r="AA285" s="158"/>
      <c r="AB285" s="158"/>
      <c r="AC285" s="158"/>
      <c r="AD285" s="158"/>
      <c r="AE285" s="158"/>
      <c r="AF285" s="158"/>
      <c r="AG285" s="158"/>
      <c r="AH285" s="158"/>
      <c r="AI285" s="158"/>
      <c r="AJ285" s="158"/>
      <c r="AK285" s="158"/>
      <c r="AL285" s="158"/>
      <c r="AM285" s="158"/>
      <c r="AN285" s="158"/>
      <c r="AO285" s="158"/>
      <c r="AP285" s="158"/>
      <c r="AQ285" s="158"/>
      <c r="AR285" s="158"/>
      <c r="AS285" s="158"/>
      <c r="AT285" s="158"/>
      <c r="AU285" s="158"/>
      <c r="AV285" s="158"/>
      <c r="AW285" s="158"/>
      <c r="AX285" s="158"/>
    </row>
    <row r="286" spans="1:50" ht="20" customHeight="1" x14ac:dyDescent="0.2">
      <c r="A286" s="198"/>
      <c r="B286" s="130"/>
      <c r="C286" s="130"/>
      <c r="D286" s="130"/>
      <c r="E286" s="130"/>
      <c r="F286" s="130"/>
      <c r="G286" s="130"/>
      <c r="H286" s="130"/>
      <c r="I286" s="130"/>
      <c r="J286" s="130"/>
      <c r="K286" s="130"/>
      <c r="L286" s="130"/>
      <c r="M286" s="130"/>
      <c r="N286" s="130"/>
      <c r="O286" s="130"/>
      <c r="P286" s="211">
        <f>AVERAGE(Blueprint_ep1!P284:R284)</f>
        <v>1.9741134733841836</v>
      </c>
      <c r="Q286" s="211"/>
      <c r="R286" s="130"/>
      <c r="S286" s="130"/>
      <c r="T286" s="141" t="str">
        <f>HYPERLINK("#Blueprint!torchcode", "&lt;/&gt;")</f>
        <v>&lt;/&gt;</v>
      </c>
      <c r="V286" s="158"/>
      <c r="W286" s="158"/>
      <c r="X286" s="158"/>
      <c r="Y286" s="158"/>
      <c r="Z286" s="158"/>
      <c r="AA286" s="158"/>
      <c r="AB286" s="158"/>
      <c r="AC286" s="158"/>
      <c r="AD286" s="158"/>
      <c r="AE286" s="158"/>
      <c r="AF286" s="158"/>
      <c r="AG286" s="158"/>
      <c r="AH286" s="158"/>
      <c r="AI286" s="158"/>
      <c r="AJ286" s="158"/>
      <c r="AK286" s="158"/>
      <c r="AL286" s="158"/>
      <c r="AM286" s="158"/>
      <c r="AN286" s="158"/>
      <c r="AO286" s="158"/>
      <c r="AP286" s="158"/>
      <c r="AQ286" s="158"/>
      <c r="AR286" s="158"/>
      <c r="AS286" s="158"/>
      <c r="AT286" s="158"/>
      <c r="AU286" s="158"/>
      <c r="AV286" s="158"/>
      <c r="AW286" s="158"/>
      <c r="AX286" s="158"/>
    </row>
    <row r="287" spans="1:50" ht="20" customHeight="1" x14ac:dyDescent="0.2">
      <c r="A287" s="198"/>
      <c r="B287" s="130"/>
      <c r="C287" s="130"/>
      <c r="D287" s="130"/>
      <c r="E287" s="130"/>
      <c r="F287" s="130"/>
      <c r="G287" s="130"/>
      <c r="H287" s="130"/>
      <c r="I287" s="130"/>
      <c r="J287" s="130"/>
      <c r="K287" s="130"/>
      <c r="L287" s="130"/>
      <c r="M287" s="130"/>
      <c r="N287" s="130"/>
      <c r="O287" s="130"/>
      <c r="P287" s="130"/>
      <c r="Q287" s="130"/>
      <c r="R287" s="130"/>
      <c r="S287" s="130"/>
      <c r="T287" s="142" t="str">
        <f>HYPERLINK("#X", "▲")</f>
        <v>▲</v>
      </c>
      <c r="V287" s="158"/>
      <c r="W287" s="158"/>
      <c r="X287" s="158"/>
      <c r="Y287" s="158"/>
      <c r="Z287" s="158"/>
      <c r="AA287" s="158"/>
      <c r="AB287" s="158"/>
      <c r="AC287" s="158"/>
      <c r="AD287" s="158"/>
      <c r="AE287" s="158"/>
      <c r="AF287" s="158"/>
      <c r="AG287" s="158"/>
      <c r="AH287" s="158"/>
      <c r="AI287" s="158"/>
      <c r="AJ287" s="158"/>
      <c r="AK287" s="158"/>
      <c r="AL287" s="158"/>
      <c r="AM287" s="158"/>
      <c r="AN287" s="158"/>
      <c r="AO287" s="158"/>
      <c r="AP287" s="158"/>
      <c r="AQ287" s="158"/>
      <c r="AR287" s="158"/>
      <c r="AS287" s="158"/>
      <c r="AT287" s="158"/>
      <c r="AU287" s="158"/>
      <c r="AV287" s="158"/>
      <c r="AW287" s="158"/>
      <c r="AX287" s="158"/>
    </row>
  </sheetData>
  <mergeCells count="18">
    <mergeCell ref="A260:A287"/>
    <mergeCell ref="P286:Q286"/>
    <mergeCell ref="A130:A158"/>
    <mergeCell ref="A160:A170"/>
    <mergeCell ref="A172:A192"/>
    <mergeCell ref="A194:A206"/>
    <mergeCell ref="A208:A231"/>
    <mergeCell ref="A233:A258"/>
    <mergeCell ref="A48:A65"/>
    <mergeCell ref="A67:A79"/>
    <mergeCell ref="A81:A116"/>
    <mergeCell ref="A118:A128"/>
    <mergeCell ref="A35:A46"/>
    <mergeCell ref="A27:A33"/>
    <mergeCell ref="BA25:BC25"/>
    <mergeCell ref="B2:T2"/>
    <mergeCell ref="V2:AX2"/>
    <mergeCell ref="AZ2:BJ2"/>
  </mergeCells>
  <conditionalFormatting sqref="P5:R11">
    <cfRule type="colorScale" priority="1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P16:R25">
    <cfRule type="colorScale" priority="2">
      <colorScale>
        <cfvo type="min"/>
        <cfvo type="percentile" val="50"/>
        <cfvo type="max"/>
        <color rgb="FFF5F5F5"/>
        <color rgb="FFF5F5F5"/>
        <color rgb="FFFF0000"/>
      </colorScale>
    </cfRule>
  </conditionalFormatting>
  <conditionalFormatting sqref="G29:N32">
    <cfRule type="colorScale" priority="3">
      <colorScale>
        <cfvo type="min"/>
        <cfvo type="percentile" val="50"/>
        <cfvo type="max"/>
        <color rgb="FFFFA500"/>
        <color rgb="FFF5F5F5"/>
        <color rgb="FFFFFF00"/>
      </colorScale>
    </cfRule>
  </conditionalFormatting>
  <conditionalFormatting sqref="P29:R32">
    <cfRule type="colorScale" priority="4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P37:R40">
    <cfRule type="colorScale" priority="5">
      <colorScale>
        <cfvo type="min"/>
        <cfvo type="percentile" val="50"/>
        <cfvo type="max"/>
        <color rgb="FF228B22"/>
        <color rgb="FFF5F5F5"/>
        <color rgb="FF98FB98"/>
      </colorScale>
    </cfRule>
  </conditionalFormatting>
  <conditionalFormatting sqref="P42:R45">
    <cfRule type="colorScale" priority="6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P50:R53">
    <cfRule type="colorScale" priority="7">
      <colorScale>
        <cfvo type="min"/>
        <cfvo type="percentile" val="50"/>
        <cfvo type="max"/>
        <color rgb="FF228B22"/>
        <color rgb="FFF5F5F5"/>
        <color rgb="FF98FB98"/>
      </colorScale>
    </cfRule>
  </conditionalFormatting>
  <conditionalFormatting sqref="P55:R58">
    <cfRule type="colorScale" priority="8">
      <colorScale>
        <cfvo type="min"/>
        <cfvo type="percentile" val="50"/>
        <cfvo type="max"/>
        <color rgb="FF228B22"/>
        <color rgb="FFF5F5F5"/>
        <color rgb="FF98FB98"/>
      </colorScale>
    </cfRule>
  </conditionalFormatting>
  <conditionalFormatting sqref="P60:R63">
    <cfRule type="colorScale" priority="9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J69:N78">
    <cfRule type="colorScale" priority="10">
      <colorScale>
        <cfvo type="min"/>
        <cfvo type="percentile" val="50"/>
        <cfvo type="max"/>
        <color rgb="FFFFA500"/>
        <color rgb="FFF5F5F5"/>
        <color rgb="FFFFFF00"/>
      </colorScale>
    </cfRule>
  </conditionalFormatting>
  <conditionalFormatting sqref="P69:R78">
    <cfRule type="colorScale" priority="11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P83:R92">
    <cfRule type="colorScale" priority="12">
      <colorScale>
        <cfvo type="min"/>
        <cfvo type="percentile" val="50"/>
        <cfvo type="max"/>
        <color rgb="FF228B22"/>
        <color rgb="FFF5F5F5"/>
        <color rgb="FF98FB98"/>
      </colorScale>
    </cfRule>
  </conditionalFormatting>
  <conditionalFormatting sqref="P94:R103">
    <cfRule type="colorScale" priority="13">
      <colorScale>
        <cfvo type="min"/>
        <cfvo type="percentile" val="50"/>
        <cfvo type="max"/>
        <color rgb="FF228B22"/>
        <color rgb="FFF5F5F5"/>
        <color rgb="FF98FB98"/>
      </colorScale>
    </cfRule>
  </conditionalFormatting>
  <conditionalFormatting sqref="P105:R114">
    <cfRule type="colorScale" priority="14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D120:N127">
    <cfRule type="colorScale" priority="15">
      <colorScale>
        <cfvo type="min"/>
        <cfvo type="percentile" val="50"/>
        <cfvo type="max"/>
        <color rgb="FFFFA500"/>
        <color rgb="FFF5F5F5"/>
        <color rgb="FFFFFF00"/>
      </colorScale>
    </cfRule>
  </conditionalFormatting>
  <conditionalFormatting sqref="P120:R127">
    <cfRule type="colorScale" priority="16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P132:R139">
    <cfRule type="colorScale" priority="17">
      <colorScale>
        <cfvo type="min"/>
        <cfvo type="percentile" val="50"/>
        <cfvo type="max"/>
        <color rgb="FF228B22"/>
        <color rgb="FFF5F5F5"/>
        <color rgb="FF98FB98"/>
      </colorScale>
    </cfRule>
  </conditionalFormatting>
  <conditionalFormatting sqref="P141:R148">
    <cfRule type="colorScale" priority="18">
      <colorScale>
        <cfvo type="min"/>
        <cfvo type="percentile" val="50"/>
        <cfvo type="max"/>
        <color rgb="FF228B22"/>
        <color rgb="FFF5F5F5"/>
        <color rgb="FF98FB98"/>
      </colorScale>
    </cfRule>
  </conditionalFormatting>
  <conditionalFormatting sqref="P150:R157">
    <cfRule type="colorScale" priority="19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P162:R169">
    <cfRule type="colorScale" priority="20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P174:R181">
    <cfRule type="colorScale" priority="21">
      <colorScale>
        <cfvo type="min"/>
        <cfvo type="percentile" val="50"/>
        <cfvo type="max"/>
        <color rgb="FF228B22"/>
        <color rgb="FFF5F5F5"/>
        <color rgb="FF98FB98"/>
      </colorScale>
    </cfRule>
  </conditionalFormatting>
  <conditionalFormatting sqref="P183:R190">
    <cfRule type="colorScale" priority="22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F196:N205">
    <cfRule type="colorScale" priority="23">
      <colorScale>
        <cfvo type="min"/>
        <cfvo type="percentile" val="50"/>
        <cfvo type="max"/>
        <color rgb="FFFFA500"/>
        <color rgb="FFF5F5F5"/>
        <color rgb="FFFFFF00"/>
      </colorScale>
    </cfRule>
  </conditionalFormatting>
  <conditionalFormatting sqref="P196:R205">
    <cfRule type="colorScale" priority="24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P210:R219">
    <cfRule type="colorScale" priority="25">
      <colorScale>
        <cfvo type="min"/>
        <cfvo type="percentile" val="50"/>
        <cfvo type="max"/>
        <color rgb="FF228B22"/>
        <color rgb="FFF5F5F5"/>
        <color rgb="FF98FB98"/>
      </colorScale>
    </cfRule>
  </conditionalFormatting>
  <conditionalFormatting sqref="P221:R230">
    <cfRule type="colorScale" priority="26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P235:R244">
    <cfRule type="colorScale" priority="27">
      <colorScale>
        <cfvo type="min"/>
        <cfvo type="percentile" val="50"/>
        <cfvo type="max"/>
        <color rgb="FF228B22"/>
        <color rgb="FFF5F5F5"/>
        <color rgb="FF98FB98"/>
      </colorScale>
    </cfRule>
  </conditionalFormatting>
  <conditionalFormatting sqref="P246:R246">
    <cfRule type="colorScale" priority="28">
      <colorScale>
        <cfvo type="min"/>
        <cfvo type="percentile" val="50"/>
        <cfvo type="max"/>
        <color rgb="FF228B22"/>
        <color rgb="FFF5F5F5"/>
        <color rgb="FF98FB98"/>
      </colorScale>
    </cfRule>
  </conditionalFormatting>
  <conditionalFormatting sqref="P248:R257">
    <cfRule type="colorScale" priority="29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P262:R271">
    <cfRule type="colorScale" priority="30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P273:R282">
    <cfRule type="colorScale" priority="31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P284:R284">
    <cfRule type="colorScale" priority="32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P286:Q286">
    <cfRule type="colorScale" priority="33">
      <colorScale>
        <cfvo type="min"/>
        <cfvo type="percentile" val="50"/>
        <cfvo type="max"/>
        <color rgb="FFFF0000"/>
        <color rgb="FFF5F5F5"/>
        <color rgb="FFFF0000"/>
      </colorScale>
    </cfRule>
  </conditionalFormatting>
  <conditionalFormatting sqref="AI235:AK244">
    <cfRule type="colorScale" priority="34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AE210:AG210">
    <cfRule type="colorScale" priority="35">
      <colorScale>
        <cfvo type="min"/>
        <cfvo type="percentile" val="50"/>
        <cfvo type="max"/>
        <color rgb="FFD3D3D3"/>
        <color rgb="FFF5F5F5"/>
        <color rgb="FFF5F5F5"/>
      </colorScale>
    </cfRule>
  </conditionalFormatting>
  <conditionalFormatting sqref="AI210:AK219">
    <cfRule type="colorScale" priority="36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AE196:AG205">
    <cfRule type="colorScale" priority="37">
      <colorScale>
        <cfvo type="min"/>
        <cfvo type="percentile" val="50"/>
        <cfvo type="max"/>
        <color rgb="FFD3D3D3"/>
        <color rgb="FFF5F5F5"/>
        <color rgb="FFF5F5F5"/>
      </colorScale>
    </cfRule>
  </conditionalFormatting>
  <conditionalFormatting sqref="AI196:AK205">
    <cfRule type="colorScale" priority="38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AM196:AU205">
    <cfRule type="colorScale" priority="39">
      <colorScale>
        <cfvo type="min"/>
        <cfvo type="percentile" val="50"/>
        <cfvo type="max"/>
        <color rgb="FFFFA500"/>
        <color rgb="FFF5F5F5"/>
        <color rgb="FFFFFF00"/>
      </colorScale>
    </cfRule>
  </conditionalFormatting>
  <conditionalFormatting sqref="AZ196:BH205">
    <cfRule type="colorScale" priority="40">
      <colorScale>
        <cfvo type="min"/>
        <cfvo type="percentile" val="50"/>
        <cfvo type="max"/>
        <color rgb="FFFFA500"/>
        <color rgb="FFF5F5F5"/>
        <color rgb="FFFFFF00"/>
      </colorScale>
    </cfRule>
  </conditionalFormatting>
  <conditionalFormatting sqref="X174:AG182">
    <cfRule type="colorScale" priority="41">
      <colorScale>
        <cfvo type="min"/>
        <cfvo type="percentile" val="50"/>
        <cfvo type="max"/>
        <color rgb="FFFFA500"/>
        <color rgb="FFF5F5F5"/>
        <color rgb="FFFFFF00"/>
      </colorScale>
    </cfRule>
  </conditionalFormatting>
  <conditionalFormatting sqref="AI174:AK181">
    <cfRule type="colorScale" priority="42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AE162:AG169">
    <cfRule type="colorScale" priority="43">
      <colorScale>
        <cfvo type="min"/>
        <cfvo type="percentile" val="50"/>
        <cfvo type="max"/>
        <color rgb="FFD3D3D3"/>
        <color rgb="FFF5F5F5"/>
        <color rgb="FFF5F5F5"/>
      </colorScale>
    </cfRule>
  </conditionalFormatting>
  <conditionalFormatting sqref="AI162:AK169">
    <cfRule type="colorScale" priority="44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AE132:AG139">
    <cfRule type="colorScale" priority="45">
      <colorScale>
        <cfvo type="min"/>
        <cfvo type="percentile" val="50"/>
        <cfvo type="max"/>
        <color rgb="FFD3D3D3"/>
        <color rgb="FFF5F5F5"/>
        <color rgb="FFF5F5F5"/>
      </colorScale>
    </cfRule>
  </conditionalFormatting>
  <conditionalFormatting sqref="AI132:AK139">
    <cfRule type="colorScale" priority="46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AE120:AG127">
    <cfRule type="colorScale" priority="47">
      <colorScale>
        <cfvo type="min"/>
        <cfvo type="percentile" val="50"/>
        <cfvo type="max"/>
        <color rgb="FFD3D3D3"/>
        <color rgb="FFF5F5F5"/>
        <color rgb="FFF5F5F5"/>
      </colorScale>
    </cfRule>
  </conditionalFormatting>
  <conditionalFormatting sqref="AI120:AK127">
    <cfRule type="colorScale" priority="48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AM120:AW127">
    <cfRule type="colorScale" priority="49">
      <colorScale>
        <cfvo type="min"/>
        <cfvo type="percentile" val="50"/>
        <cfvo type="max"/>
        <color rgb="FFFFA500"/>
        <color rgb="FFF5F5F5"/>
        <color rgb="FFFFFF00"/>
      </colorScale>
    </cfRule>
  </conditionalFormatting>
  <conditionalFormatting sqref="AZ120:BJ127">
    <cfRule type="colorScale" priority="50">
      <colorScale>
        <cfvo type="min"/>
        <cfvo type="percentile" val="50"/>
        <cfvo type="max"/>
        <color rgb="FFFFA500"/>
        <color rgb="FFF5F5F5"/>
        <color rgb="FFFFFF00"/>
      </colorScale>
    </cfRule>
  </conditionalFormatting>
  <conditionalFormatting sqref="Z83:AG93">
    <cfRule type="colorScale" priority="51">
      <colorScale>
        <cfvo type="min"/>
        <cfvo type="percentile" val="50"/>
        <cfvo type="max"/>
        <color rgb="FFFFA500"/>
        <color rgb="FFF5F5F5"/>
        <color rgb="FFFFFF00"/>
      </colorScale>
    </cfRule>
  </conditionalFormatting>
  <conditionalFormatting sqref="AI83:AK92">
    <cfRule type="colorScale" priority="52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AE69:AG78">
    <cfRule type="colorScale" priority="53">
      <colorScale>
        <cfvo type="min"/>
        <cfvo type="percentile" val="50"/>
        <cfvo type="max"/>
        <color rgb="FFD3D3D3"/>
        <color rgb="FFF5F5F5"/>
        <color rgb="FFF5F5F5"/>
      </colorScale>
    </cfRule>
  </conditionalFormatting>
  <conditionalFormatting sqref="AI69:AK78">
    <cfRule type="colorScale" priority="54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AM69:AQ78">
    <cfRule type="colorScale" priority="55">
      <colorScale>
        <cfvo type="min"/>
        <cfvo type="percentile" val="50"/>
        <cfvo type="max"/>
        <color rgb="FFFFA500"/>
        <color rgb="FFF5F5F5"/>
        <color rgb="FFFFFF00"/>
      </colorScale>
    </cfRule>
  </conditionalFormatting>
  <conditionalFormatting sqref="AZ69:BD78">
    <cfRule type="colorScale" priority="56">
      <colorScale>
        <cfvo type="min"/>
        <cfvo type="percentile" val="50"/>
        <cfvo type="max"/>
        <color rgb="FFFFA500"/>
        <color rgb="FFF5F5F5"/>
        <color rgb="FFFFFF00"/>
      </colorScale>
    </cfRule>
  </conditionalFormatting>
  <conditionalFormatting sqref="X50:AG54">
    <cfRule type="colorScale" priority="57">
      <colorScale>
        <cfvo type="min"/>
        <cfvo type="percentile" val="50"/>
        <cfvo type="max"/>
        <color rgb="FFFFA500"/>
        <color rgb="FFF5F5F5"/>
        <color rgb="FFFFFF00"/>
      </colorScale>
    </cfRule>
  </conditionalFormatting>
  <conditionalFormatting sqref="AI50:AK53">
    <cfRule type="colorScale" priority="58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AE37:AG40">
    <cfRule type="colorScale" priority="59">
      <colorScale>
        <cfvo type="min"/>
        <cfvo type="percentile" val="50"/>
        <cfvo type="max"/>
        <color rgb="FFD3D3D3"/>
        <color rgb="FFF5F5F5"/>
        <color rgb="FFF5F5F5"/>
      </colorScale>
    </cfRule>
  </conditionalFormatting>
  <conditionalFormatting sqref="AI37:AK40">
    <cfRule type="colorScale" priority="60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AE29:AG32">
    <cfRule type="colorScale" priority="61">
      <colorScale>
        <cfvo type="min"/>
        <cfvo type="percentile" val="50"/>
        <cfvo type="max"/>
        <color rgb="FFD3D3D3"/>
        <color rgb="FFF5F5F5"/>
        <color rgb="FFF5F5F5"/>
      </colorScale>
    </cfRule>
  </conditionalFormatting>
  <conditionalFormatting sqref="AI29:AK32">
    <cfRule type="colorScale" priority="62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AM29:AT32">
    <cfRule type="colorScale" priority="63">
      <colorScale>
        <cfvo type="min"/>
        <cfvo type="percentile" val="50"/>
        <cfvo type="max"/>
        <color rgb="FFFFA500"/>
        <color rgb="FFF5F5F5"/>
        <color rgb="FFFFFF00"/>
      </colorScale>
    </cfRule>
  </conditionalFormatting>
  <conditionalFormatting sqref="AZ29:BG32">
    <cfRule type="colorScale" priority="64">
      <colorScale>
        <cfvo type="min"/>
        <cfvo type="percentile" val="50"/>
        <cfvo type="max"/>
        <color rgb="FFFFA500"/>
        <color rgb="FFF5F5F5"/>
        <color rgb="FFFFFF00"/>
      </colorScale>
    </cfRule>
  </conditionalFormatting>
  <dataValidations count="1">
    <dataValidation type="list" allowBlank="1" showInputMessage="1" showErrorMessage="1" sqref="P15:R15" xr:uid="{C0C42D80-2A97-894C-887D-46FBC6DB4C50}">
      <formula1>"0,1,2,3,4,5,6,7,8,9"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021EC-5B3B-B144-83E3-E790654042E3}">
  <sheetPr>
    <tabColor rgb="FFFFA500"/>
  </sheetPr>
  <dimension ref="A1:CD515"/>
  <sheetViews>
    <sheetView showGridLines="0" showRowColHeader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5" sqref="J5"/>
    </sheetView>
  </sheetViews>
  <sheetFormatPr baseColWidth="10" defaultColWidth="3.33203125" defaultRowHeight="20" customHeight="1" x14ac:dyDescent="0.2"/>
  <cols>
    <col min="1" max="1" width="4.1640625" style="118" customWidth="1"/>
    <col min="2" max="16384" width="3.33203125" style="118"/>
  </cols>
  <sheetData>
    <row r="1" spans="1:82" ht="40" customHeight="1" x14ac:dyDescent="0.2">
      <c r="A1" s="159" t="str">
        <f>HYPERLINK("#Architect!A1", "⏎")</f>
        <v>⏎</v>
      </c>
      <c r="C1" s="63" t="s">
        <v>109</v>
      </c>
      <c r="K1" s="164" t="s">
        <v>163</v>
      </c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</row>
    <row r="2" spans="1:82" ht="25" customHeight="1" thickBot="1" x14ac:dyDescent="0.25">
      <c r="B2" s="193" t="s">
        <v>125</v>
      </c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</row>
    <row r="3" spans="1:82" ht="20" customHeight="1" thickTop="1" x14ac:dyDescent="0.2"/>
    <row r="4" spans="1:82" ht="20" customHeight="1" x14ac:dyDescent="0.2">
      <c r="P4" s="117" t="s">
        <v>110</v>
      </c>
    </row>
    <row r="5" spans="1:82" ht="20" customHeight="1" x14ac:dyDescent="0.2">
      <c r="P5" s="119">
        <v>-0.44880335917696357</v>
      </c>
      <c r="Q5" s="119">
        <v>6.0701910406351089E-2</v>
      </c>
      <c r="R5" s="119">
        <v>0.31955507723614573</v>
      </c>
    </row>
    <row r="6" spans="1:82" ht="20" customHeight="1" x14ac:dyDescent="0.2">
      <c r="P6" s="120">
        <v>-0.11292755883187056</v>
      </c>
      <c r="Q6" s="120">
        <v>-0.27272867364808917</v>
      </c>
      <c r="R6" s="120">
        <v>0.77663186006247997</v>
      </c>
    </row>
    <row r="7" spans="1:82" ht="20" customHeight="1" x14ac:dyDescent="0.2">
      <c r="P7" s="120">
        <v>-0.38099355483427644</v>
      </c>
      <c r="Q7" s="120">
        <v>-0.82472457829862833</v>
      </c>
      <c r="R7" s="120">
        <v>-0.20655657863244414</v>
      </c>
    </row>
    <row r="8" spans="1:82" ht="20" customHeight="1" x14ac:dyDescent="0.2">
      <c r="P8" s="120">
        <v>-0.11691222339868546</v>
      </c>
      <c r="Q8" s="120">
        <v>-0.84651675121858716</v>
      </c>
      <c r="R8" s="120">
        <v>0.17681382689625025</v>
      </c>
    </row>
    <row r="9" spans="1:82" ht="20" customHeight="1" x14ac:dyDescent="0.2">
      <c r="P9" s="120">
        <v>-0.49264957336708903</v>
      </c>
      <c r="Q9" s="120">
        <v>0.9410270918160677</v>
      </c>
      <c r="R9" s="120">
        <v>-0.40785891423001885</v>
      </c>
    </row>
    <row r="10" spans="1:82" ht="20" customHeight="1" x14ac:dyDescent="0.2">
      <c r="P10" s="120">
        <v>-0.88707277644425631</v>
      </c>
      <c r="Q10" s="120">
        <v>-0.34107493003830314</v>
      </c>
      <c r="R10" s="120">
        <v>0.72421393916010857</v>
      </c>
    </row>
    <row r="11" spans="1:82" ht="20" customHeight="1" x14ac:dyDescent="0.2">
      <c r="P11" s="121">
        <v>0.67921642540022731</v>
      </c>
      <c r="Q11" s="121">
        <v>-0.80737474095076323</v>
      </c>
      <c r="R11" s="121">
        <v>-0.9685451234690845</v>
      </c>
    </row>
    <row r="12" spans="1:82" ht="20" customHeight="1" x14ac:dyDescent="0.2">
      <c r="P12" s="118">
        <v>1</v>
      </c>
      <c r="Q12" s="118">
        <v>1</v>
      </c>
      <c r="R12" s="118">
        <v>1</v>
      </c>
    </row>
    <row r="14" spans="1:82" ht="20" customHeight="1" x14ac:dyDescent="0.2">
      <c r="P14" s="117" t="s">
        <v>194</v>
      </c>
    </row>
    <row r="15" spans="1:82" ht="20" customHeight="1" x14ac:dyDescent="0.2">
      <c r="O15" s="122" t="s">
        <v>111</v>
      </c>
      <c r="P15" s="123">
        <v>5</v>
      </c>
      <c r="Q15" s="123">
        <v>8</v>
      </c>
      <c r="R15" s="123">
        <v>8</v>
      </c>
    </row>
    <row r="16" spans="1:82" ht="20" customHeight="1" x14ac:dyDescent="0.2">
      <c r="P16" s="119" cm="1">
        <f t="array" ref="P16:P25">TRANSPOSE(--(_xlfn.SEQUENCE(1, 10) = 1+P15))</f>
        <v>0</v>
      </c>
      <c r="Q16" s="119" cm="1">
        <f t="array" ref="Q16:Q25">TRANSPOSE(--(_xlfn.SEQUENCE(1, 10) = 1+Q15))</f>
        <v>0</v>
      </c>
      <c r="R16" s="119" cm="1">
        <f t="array" ref="R16:R25">TRANSPOSE(--(_xlfn.SEQUENCE(1, 10) = 1+R15))</f>
        <v>0</v>
      </c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</row>
    <row r="17" spans="1:82" ht="20" customHeight="1" x14ac:dyDescent="0.2">
      <c r="P17" s="120">
        <v>0</v>
      </c>
      <c r="Q17" s="120">
        <v>0</v>
      </c>
      <c r="R17" s="120">
        <v>0</v>
      </c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</row>
    <row r="18" spans="1:82" ht="20" customHeight="1" x14ac:dyDescent="0.2">
      <c r="P18" s="120">
        <v>0</v>
      </c>
      <c r="Q18" s="120">
        <v>0</v>
      </c>
      <c r="R18" s="120">
        <v>0</v>
      </c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</row>
    <row r="19" spans="1:82" ht="20" customHeight="1" x14ac:dyDescent="0.2">
      <c r="P19" s="120">
        <v>0</v>
      </c>
      <c r="Q19" s="120">
        <v>0</v>
      </c>
      <c r="R19" s="120">
        <v>0</v>
      </c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</row>
    <row r="20" spans="1:82" ht="20" customHeight="1" x14ac:dyDescent="0.2">
      <c r="P20" s="120">
        <v>0</v>
      </c>
      <c r="Q20" s="120">
        <v>0</v>
      </c>
      <c r="R20" s="120">
        <v>0</v>
      </c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</row>
    <row r="21" spans="1:82" ht="20" customHeight="1" x14ac:dyDescent="0.2">
      <c r="P21" s="120">
        <v>1</v>
      </c>
      <c r="Q21" s="120">
        <v>0</v>
      </c>
      <c r="R21" s="120">
        <v>0</v>
      </c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</row>
    <row r="22" spans="1:82" ht="20" customHeight="1" x14ac:dyDescent="0.2">
      <c r="P22" s="120">
        <v>0</v>
      </c>
      <c r="Q22" s="120">
        <v>0</v>
      </c>
      <c r="R22" s="120">
        <v>0</v>
      </c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</row>
    <row r="23" spans="1:82" ht="20" customHeight="1" x14ac:dyDescent="0.2">
      <c r="P23" s="120">
        <v>0</v>
      </c>
      <c r="Q23" s="120">
        <v>0</v>
      </c>
      <c r="R23" s="120">
        <v>0</v>
      </c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</row>
    <row r="24" spans="1:82" ht="20" customHeight="1" x14ac:dyDescent="0.2">
      <c r="P24" s="120">
        <v>0</v>
      </c>
      <c r="Q24" s="120">
        <v>1</v>
      </c>
      <c r="R24" s="120">
        <v>1</v>
      </c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</row>
    <row r="25" spans="1:82" ht="20" customHeight="1" x14ac:dyDescent="0.2">
      <c r="P25" s="121">
        <v>0</v>
      </c>
      <c r="Q25" s="121">
        <v>0</v>
      </c>
      <c r="R25" s="121">
        <v>0</v>
      </c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</row>
    <row r="26" spans="1:82" ht="20" customHeight="1" x14ac:dyDescent="0.2"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</row>
    <row r="27" spans="1:82" ht="20" customHeight="1" x14ac:dyDescent="0.2">
      <c r="A27" s="198" t="s">
        <v>116</v>
      </c>
      <c r="B27" s="130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1" t="s">
        <v>114</v>
      </c>
      <c r="Q27" s="130"/>
      <c r="R27" s="130"/>
      <c r="S27" s="130"/>
      <c r="T27" s="130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</row>
    <row r="28" spans="1:82" ht="20" customHeight="1" x14ac:dyDescent="0.2">
      <c r="A28" s="198"/>
      <c r="B28" s="130"/>
      <c r="C28" s="130"/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2" t="s">
        <v>112</v>
      </c>
      <c r="O28" s="130"/>
      <c r="P28" s="133" t="s">
        <v>115</v>
      </c>
      <c r="Q28" s="130"/>
      <c r="R28" s="130"/>
      <c r="S28" s="130"/>
      <c r="T28" s="130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</row>
    <row r="29" spans="1:82" ht="20" customHeight="1" x14ac:dyDescent="0.2">
      <c r="A29" s="198"/>
      <c r="B29" s="130"/>
      <c r="C29" s="130"/>
      <c r="D29" s="130"/>
      <c r="E29" s="130"/>
      <c r="F29" s="130"/>
      <c r="G29" s="134" cm="1">
        <f t="array" ref="G29:N32">Blueprint!newW_0</f>
        <v>-0.49008893942393444</v>
      </c>
      <c r="H29" s="135">
        <v>-0.8210228760248871</v>
      </c>
      <c r="I29" s="135">
        <v>0.16340067287852517</v>
      </c>
      <c r="J29" s="135">
        <v>-0.54921817928763184</v>
      </c>
      <c r="K29" s="135">
        <v>-0.24729539468289061</v>
      </c>
      <c r="L29" s="135">
        <v>-0.93604888697978295</v>
      </c>
      <c r="M29" s="135">
        <v>-0.10973652098987373</v>
      </c>
      <c r="N29" s="136">
        <v>-0.78046592119089997</v>
      </c>
      <c r="O29" s="137" t="s">
        <v>113</v>
      </c>
      <c r="P29" s="138" cm="1">
        <f t="array" ref="P29:R32">MMULT(Blueprint_inference!G29:N32,Blueprint_inference!P5:R12)</f>
        <v>0.41179807372612687</v>
      </c>
      <c r="Q29" s="138">
        <v>-8.0987300494497205E-2</v>
      </c>
      <c r="R29" s="138">
        <v>-2.1763229537044264</v>
      </c>
      <c r="S29" s="130"/>
      <c r="T29" s="130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</row>
    <row r="30" spans="1:82" ht="20" customHeight="1" x14ac:dyDescent="0.2">
      <c r="A30" s="198"/>
      <c r="B30" s="130"/>
      <c r="C30" s="130"/>
      <c r="D30" s="130"/>
      <c r="E30" s="130"/>
      <c r="F30" s="130"/>
      <c r="G30" s="134">
        <v>0.73590079114347828</v>
      </c>
      <c r="H30" s="135">
        <v>0.96083345718356861</v>
      </c>
      <c r="I30" s="135">
        <v>0.71423503602071814</v>
      </c>
      <c r="J30" s="135">
        <v>-6.9007925115621141E-3</v>
      </c>
      <c r="K30" s="135">
        <v>0.29874492381220508</v>
      </c>
      <c r="L30" s="135">
        <v>0.69646047895672392</v>
      </c>
      <c r="M30" s="135">
        <v>0.22868774142664472</v>
      </c>
      <c r="N30" s="136">
        <v>-0.85554199845535028</v>
      </c>
      <c r="O30" s="137" t="s">
        <v>113</v>
      </c>
      <c r="P30" s="139">
        <v>-2.1752927004190834</v>
      </c>
      <c r="Q30" s="139">
        <v>-1.797178649646098</v>
      </c>
      <c r="R30" s="139">
        <v>0.13812881976780989</v>
      </c>
      <c r="S30" s="130"/>
      <c r="T30" s="1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</row>
    <row r="31" spans="1:82" ht="20" customHeight="1" x14ac:dyDescent="0.2">
      <c r="A31" s="198"/>
      <c r="B31" s="130"/>
      <c r="C31" s="130"/>
      <c r="D31" s="130"/>
      <c r="E31" s="130"/>
      <c r="F31" s="130"/>
      <c r="G31" s="134">
        <v>-0.72022904710273328</v>
      </c>
      <c r="H31" s="135">
        <v>0.90782428269859206</v>
      </c>
      <c r="I31" s="135">
        <v>0.84292943531625131</v>
      </c>
      <c r="J31" s="135">
        <v>0.77961159535469038</v>
      </c>
      <c r="K31" s="135">
        <v>9.1934602984704142E-2</v>
      </c>
      <c r="L31" s="135">
        <v>-0.63931633996578663</v>
      </c>
      <c r="M31" s="135">
        <v>9.5481785807833619E-2</v>
      </c>
      <c r="N31" s="136">
        <v>-0.46095050284064687</v>
      </c>
      <c r="O31" s="137" t="s">
        <v>113</v>
      </c>
      <c r="P31" s="139">
        <v>-6.5843099224693558E-2</v>
      </c>
      <c r="Q31" s="139">
        <v>-1.8799202465165128</v>
      </c>
      <c r="R31" s="139">
        <v>-0.61530117116718319</v>
      </c>
      <c r="S31" s="130"/>
      <c r="T31" s="130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</row>
    <row r="32" spans="1:82" ht="20" customHeight="1" x14ac:dyDescent="0.2">
      <c r="A32" s="198"/>
      <c r="B32" s="130"/>
      <c r="C32" s="130"/>
      <c r="D32" s="130"/>
      <c r="E32" s="130"/>
      <c r="F32" s="130"/>
      <c r="G32" s="134">
        <v>0.88477866244999115</v>
      </c>
      <c r="H32" s="135">
        <v>0.64307287798737467</v>
      </c>
      <c r="I32" s="135">
        <v>-0.68787120437273552</v>
      </c>
      <c r="J32" s="135">
        <v>0.66083366264984411</v>
      </c>
      <c r="K32" s="135">
        <v>-6.9852865544358836E-2</v>
      </c>
      <c r="L32" s="135">
        <v>-0.88021195668029606</v>
      </c>
      <c r="M32" s="135">
        <v>-0.95054652437561604</v>
      </c>
      <c r="N32" s="136">
        <v>7.3624402737635597E-2</v>
      </c>
      <c r="O32" s="137" t="s">
        <v>113</v>
      </c>
      <c r="P32" s="140">
        <v>-4.1674684517404526E-2</v>
      </c>
      <c r="Q32" s="140">
        <v>0.96177731501521246</v>
      </c>
      <c r="R32" s="140">
        <v>1.4263951995588025</v>
      </c>
      <c r="S32" s="130"/>
      <c r="T32" s="141" t="str">
        <f>HYPERLINK("#Blueprint!torchcode", "&lt;/&gt;")</f>
        <v>&lt;/&gt;</v>
      </c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</row>
    <row r="33" spans="1:82" ht="20" customHeight="1" x14ac:dyDescent="0.2">
      <c r="A33" s="198"/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42" t="str">
        <f>HYPERLINK("#X", "▲")</f>
        <v>▲</v>
      </c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</row>
    <row r="34" spans="1:82" ht="20" customHeight="1" x14ac:dyDescent="0.2">
      <c r="P34" s="143" t="s">
        <v>117</v>
      </c>
      <c r="Q34" s="143" t="s">
        <v>117</v>
      </c>
      <c r="R34" s="143" t="s">
        <v>117</v>
      </c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</row>
    <row r="35" spans="1:82" ht="20" customHeight="1" x14ac:dyDescent="0.2">
      <c r="A35" s="199" t="s">
        <v>244</v>
      </c>
      <c r="B35" s="123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P35" s="144" t="s">
        <v>241</v>
      </c>
      <c r="Q35" s="123"/>
      <c r="R35" s="123"/>
      <c r="S35" s="123"/>
      <c r="T35" s="123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</row>
    <row r="36" spans="1:82" ht="20" customHeight="1" x14ac:dyDescent="0.2">
      <c r="A36" s="199"/>
      <c r="B36" s="123"/>
      <c r="C36" s="123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45" t="s">
        <v>242</v>
      </c>
      <c r="Q36" s="123"/>
      <c r="R36" s="123"/>
      <c r="S36" s="123"/>
      <c r="T36" s="123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</row>
    <row r="37" spans="1:82" ht="20" customHeight="1" x14ac:dyDescent="0.2">
      <c r="A37" s="199"/>
      <c r="B37" s="123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146" cm="1">
        <f t="array" ref="P37:R40">1+ERF(Blueprint_inference!P29:R32/SQRT(2))</f>
        <v>1.3195125666148793</v>
      </c>
      <c r="Q37" s="146">
        <v>0.93545205206469439</v>
      </c>
      <c r="R37" s="146">
        <v>2.9531120364030494E-2</v>
      </c>
      <c r="S37" s="123"/>
      <c r="T37" s="123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</row>
    <row r="38" spans="1:82" ht="20" customHeight="1" x14ac:dyDescent="0.2">
      <c r="A38" s="199"/>
      <c r="B38" s="123"/>
      <c r="C38" s="123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47">
        <v>2.9608189194244128E-2</v>
      </c>
      <c r="Q38" s="147">
        <v>7.2307262864443222E-2</v>
      </c>
      <c r="R38" s="147">
        <v>1.1098613907934189</v>
      </c>
      <c r="S38" s="123"/>
      <c r="T38" s="123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</row>
    <row r="39" spans="1:82" ht="20" customHeight="1" x14ac:dyDescent="0.2">
      <c r="A39" s="199"/>
      <c r="B39" s="123"/>
      <c r="C39" s="123"/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47">
        <v>0.94750274244433186</v>
      </c>
      <c r="Q39" s="147">
        <v>6.0118948110834625E-2</v>
      </c>
      <c r="R39" s="147">
        <v>0.53835584427188432</v>
      </c>
      <c r="S39" s="123"/>
      <c r="T39" s="123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</row>
    <row r="40" spans="1:82" ht="20" customHeight="1" x14ac:dyDescent="0.2">
      <c r="A40" s="199"/>
      <c r="B40" s="123"/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48">
        <v>0.96675803525184545</v>
      </c>
      <c r="Q40" s="148">
        <v>1.6638385244515395</v>
      </c>
      <c r="R40" s="148">
        <v>1.8462457014151301</v>
      </c>
      <c r="S40" s="123"/>
      <c r="T40" s="123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</row>
    <row r="41" spans="1:82" ht="20" customHeight="1" x14ac:dyDescent="0.2">
      <c r="A41" s="199"/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45" t="s">
        <v>243</v>
      </c>
      <c r="Q41" s="123"/>
      <c r="R41" s="123"/>
      <c r="S41" s="123"/>
      <c r="T41" s="123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</row>
    <row r="42" spans="1:82" ht="20" customHeight="1" x14ac:dyDescent="0.2">
      <c r="A42" s="199"/>
      <c r="B42" s="123"/>
      <c r="C42" s="123"/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146" cm="1">
        <f t="array" ref="P42:R45">0.5*Blueprint_inference!P29:R32*Blueprint_inference!P37:R40</f>
        <v>0.27168636659471246</v>
      </c>
      <c r="Q42" s="146">
        <v>-3.7879868219378728E-2</v>
      </c>
      <c r="R42" s="146">
        <v>-3.2134627548423889E-2</v>
      </c>
      <c r="S42" s="123"/>
      <c r="T42" s="123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</row>
    <row r="43" spans="1:82" ht="20" customHeight="1" x14ac:dyDescent="0.2">
      <c r="A43" s="199"/>
      <c r="B43" s="123"/>
      <c r="C43" s="123"/>
      <c r="D43" s="123"/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147">
        <v>-3.220323891343322E-2</v>
      </c>
      <c r="Q43" s="147">
        <v>-6.4974534517162758E-2</v>
      </c>
      <c r="R43" s="147">
        <v>7.6651922008077494E-2</v>
      </c>
      <c r="S43" s="123"/>
      <c r="T43" s="12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</row>
    <row r="44" spans="1:82" ht="20" customHeight="1" x14ac:dyDescent="0.2">
      <c r="A44" s="199"/>
      <c r="B44" s="123"/>
      <c r="C44" s="123"/>
      <c r="D44" s="123"/>
      <c r="E44" s="123"/>
      <c r="F44" s="123"/>
      <c r="G44" s="123"/>
      <c r="H44" s="123"/>
      <c r="I44" s="123"/>
      <c r="J44" s="123"/>
      <c r="K44" s="123"/>
      <c r="L44" s="123"/>
      <c r="M44" s="123"/>
      <c r="N44" s="123"/>
      <c r="O44" s="123"/>
      <c r="P44" s="147">
        <v>-3.1193258543215703E-2</v>
      </c>
      <c r="Q44" s="147">
        <v>-5.6509413876416836E-2</v>
      </c>
      <c r="R44" s="147">
        <v>-0.16562549074259406</v>
      </c>
      <c r="S44" s="123"/>
      <c r="T44" s="123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</row>
    <row r="45" spans="1:82" ht="20" customHeight="1" x14ac:dyDescent="0.2">
      <c r="A45" s="199"/>
      <c r="B45" s="123"/>
      <c r="C45" s="123"/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48">
        <v>-2.0144668061893252E-2</v>
      </c>
      <c r="Q45" s="148">
        <v>0.80012107433293722</v>
      </c>
      <c r="R45" s="148">
        <v>1.3167380028523079</v>
      </c>
      <c r="S45" s="123"/>
      <c r="T45" s="149" t="str">
        <f>HYPERLINK("#Blueprint!torchcode", "&lt;/&gt;")</f>
        <v>&lt;/&gt;</v>
      </c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</row>
    <row r="46" spans="1:82" ht="20" customHeight="1" x14ac:dyDescent="0.2">
      <c r="A46" s="199"/>
      <c r="B46" s="123"/>
      <c r="C46" s="123"/>
      <c r="D46" s="123"/>
      <c r="E46" s="123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50" t="str">
        <f>HYPERLINK("#X", "▲")</f>
        <v>▲</v>
      </c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</row>
    <row r="47" spans="1:82" ht="20" customHeight="1" x14ac:dyDescent="0.2">
      <c r="P47" s="143" t="s">
        <v>117</v>
      </c>
      <c r="Q47" s="143" t="s">
        <v>117</v>
      </c>
      <c r="R47" s="143" t="s">
        <v>117</v>
      </c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</row>
    <row r="48" spans="1:82" ht="20" customHeight="1" x14ac:dyDescent="0.2">
      <c r="A48" s="198" t="s">
        <v>249</v>
      </c>
      <c r="B48" s="130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1" t="s">
        <v>245</v>
      </c>
      <c r="Q48" s="130"/>
      <c r="R48" s="130"/>
      <c r="S48" s="130"/>
      <c r="T48" s="130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</row>
    <row r="49" spans="1:82" ht="20" customHeight="1" x14ac:dyDescent="0.2">
      <c r="A49" s="198"/>
      <c r="B49" s="130"/>
      <c r="C49" s="130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3" t="s">
        <v>246</v>
      </c>
      <c r="Q49" s="130"/>
      <c r="R49" s="130"/>
      <c r="S49" s="130"/>
      <c r="T49" s="130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</row>
    <row r="50" spans="1:82" ht="20" customHeight="1" x14ac:dyDescent="0.2">
      <c r="A50" s="198"/>
      <c r="B50" s="130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8" cm="1">
        <f t="array" ref="P50:R53">EXP(Blueprint_inference!P42:R45)</f>
        <v>1.3121753947303116</v>
      </c>
      <c r="Q50" s="138">
        <v>0.96282860025805972</v>
      </c>
      <c r="R50" s="138">
        <v>0.96837620318891193</v>
      </c>
      <c r="S50" s="130"/>
      <c r="T50" s="13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</row>
    <row r="51" spans="1:82" ht="20" customHeight="1" x14ac:dyDescent="0.2">
      <c r="A51" s="198"/>
      <c r="B51" s="130"/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9">
        <v>0.96830976385504142</v>
      </c>
      <c r="Q51" s="139">
        <v>0.93709132655665184</v>
      </c>
      <c r="R51" s="139">
        <v>1.0796662029358919</v>
      </c>
      <c r="S51" s="130"/>
      <c r="T51" s="130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</row>
    <row r="52" spans="1:82" ht="20" customHeight="1" x14ac:dyDescent="0.2">
      <c r="A52" s="198"/>
      <c r="B52" s="130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9">
        <v>0.96928823174232981</v>
      </c>
      <c r="Q52" s="139">
        <v>0.94505758779793236</v>
      </c>
      <c r="R52" s="139">
        <v>0.8473635202551304</v>
      </c>
      <c r="S52" s="130"/>
      <c r="T52" s="130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</row>
    <row r="53" spans="1:82" ht="20" customHeight="1" x14ac:dyDescent="0.2">
      <c r="A53" s="198"/>
      <c r="B53" s="130"/>
      <c r="C53" s="130"/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40">
        <v>0.98005688012113767</v>
      </c>
      <c r="Q53" s="140">
        <v>2.2258104006885633</v>
      </c>
      <c r="R53" s="140">
        <v>3.7312302419400565</v>
      </c>
      <c r="S53" s="130"/>
      <c r="T53" s="130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</row>
    <row r="54" spans="1:82" ht="20" customHeight="1" x14ac:dyDescent="0.2">
      <c r="A54" s="198"/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3" t="s">
        <v>247</v>
      </c>
      <c r="Q54" s="130"/>
      <c r="R54" s="130"/>
      <c r="S54" s="130"/>
      <c r="T54" s="130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</row>
    <row r="55" spans="1:82" ht="20" customHeight="1" x14ac:dyDescent="0.2">
      <c r="A55" s="198"/>
      <c r="B55" s="130"/>
      <c r="C55" s="130"/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8" cm="1">
        <f t="array" ref="P55:R58">EXP(-Blueprint_inference!P42:R45)</f>
        <v>0.76209324151023849</v>
      </c>
      <c r="Q55" s="138">
        <v>1.0386064557409049</v>
      </c>
      <c r="R55" s="138">
        <v>1.0326565199629538</v>
      </c>
      <c r="S55" s="130"/>
      <c r="T55" s="130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</row>
    <row r="56" spans="1:82" ht="20" customHeight="1" x14ac:dyDescent="0.2">
      <c r="A56" s="198"/>
      <c r="B56" s="130"/>
      <c r="C56" s="130"/>
      <c r="D56" s="130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9">
        <v>1.0327273743670551</v>
      </c>
      <c r="Q56" s="139">
        <v>1.0671318490103909</v>
      </c>
      <c r="R56" s="139">
        <v>0.92621219158360357</v>
      </c>
      <c r="S56" s="130"/>
      <c r="T56" s="130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</row>
    <row r="57" spans="1:82" ht="20" customHeight="1" x14ac:dyDescent="0.2">
      <c r="A57" s="198"/>
      <c r="B57" s="130"/>
      <c r="C57" s="130"/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9">
        <v>1.031684866535999</v>
      </c>
      <c r="Q57" s="139">
        <v>1.0581365759202974</v>
      </c>
      <c r="R57" s="139">
        <v>1.1801310489492309</v>
      </c>
      <c r="S57" s="130"/>
      <c r="T57" s="130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</row>
    <row r="58" spans="1:82" ht="20" customHeight="1" x14ac:dyDescent="0.2">
      <c r="A58" s="198"/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40">
        <v>1.0203489412536926</v>
      </c>
      <c r="Q58" s="140">
        <v>0.44927456520584413</v>
      </c>
      <c r="R58" s="140">
        <v>0.26800811934887436</v>
      </c>
      <c r="S58" s="130"/>
      <c r="T58" s="130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</row>
    <row r="59" spans="1:82" ht="20" customHeight="1" x14ac:dyDescent="0.2">
      <c r="A59" s="198"/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3" t="s">
        <v>248</v>
      </c>
      <c r="Q59" s="130"/>
      <c r="R59" s="130"/>
      <c r="S59" s="130"/>
      <c r="T59" s="130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</row>
    <row r="60" spans="1:82" ht="20" customHeight="1" x14ac:dyDescent="0.2">
      <c r="A60" s="198"/>
      <c r="B60" s="130"/>
      <c r="C60" s="130"/>
      <c r="D60" s="130"/>
      <c r="E60" s="130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138" cm="1">
        <f t="array" ref="P60:R64">_xlfn.VSTACK((Blueprint_inference!P50:R53-Blueprint_inference!P55:R58)/(Blueprint_inference!P50:R53+Blueprint_inference!P55:R58), _xlfn.SEQUENCE(1,3)*0+1)</f>
        <v>0.26519330409249892</v>
      </c>
      <c r="Q60" s="138">
        <v>-3.7861760867890198E-2</v>
      </c>
      <c r="R60" s="138">
        <v>-3.2123571009270005E-2</v>
      </c>
      <c r="S60" s="130"/>
      <c r="T60" s="13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</row>
    <row r="61" spans="1:82" ht="20" customHeight="1" x14ac:dyDescent="0.2">
      <c r="A61" s="198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9">
        <v>-3.2192111421404268E-2</v>
      </c>
      <c r="Q61" s="139">
        <v>-6.4883254539229399E-2</v>
      </c>
      <c r="R61" s="139">
        <v>7.6502150764253055E-2</v>
      </c>
      <c r="S61" s="130"/>
      <c r="T61" s="130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</row>
    <row r="62" spans="1:82" ht="20" customHeight="1" x14ac:dyDescent="0.2">
      <c r="A62" s="198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9">
        <v>-3.1183145264349791E-2</v>
      </c>
      <c r="Q62" s="139">
        <v>-5.6449339844557772E-2</v>
      </c>
      <c r="R62" s="139">
        <v>-0.16412745747806698</v>
      </c>
      <c r="S62" s="130"/>
      <c r="T62" s="130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</row>
    <row r="63" spans="1:82" ht="20" customHeight="1" x14ac:dyDescent="0.2">
      <c r="A63" s="198"/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40">
        <v>-2.014194355066571E-2</v>
      </c>
      <c r="Q63" s="140">
        <v>0.66410445205755886</v>
      </c>
      <c r="R63" s="140">
        <v>0.865970419796385</v>
      </c>
      <c r="S63" s="130"/>
      <c r="T63" s="130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</row>
    <row r="64" spans="1:82" ht="20" customHeight="1" x14ac:dyDescent="0.2">
      <c r="A64" s="198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>
        <v>1</v>
      </c>
      <c r="Q64" s="130">
        <v>1</v>
      </c>
      <c r="R64" s="130">
        <v>1</v>
      </c>
      <c r="S64" s="130"/>
      <c r="T64" s="141" t="str">
        <f>HYPERLINK("#Blueprint!torchcode", "&lt;/&gt;")</f>
        <v>&lt;/&gt;</v>
      </c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</row>
    <row r="65" spans="1:82" ht="20" customHeight="1" x14ac:dyDescent="0.2">
      <c r="A65" s="198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42" t="str">
        <f>HYPERLINK("#X", "▲")</f>
        <v>▲</v>
      </c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</row>
    <row r="66" spans="1:82" ht="20" customHeight="1" x14ac:dyDescent="0.2">
      <c r="P66" s="143" t="s">
        <v>117</v>
      </c>
      <c r="Q66" s="143" t="s">
        <v>117</v>
      </c>
      <c r="R66" s="143" t="s">
        <v>117</v>
      </c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</row>
    <row r="67" spans="1:82" ht="20" customHeight="1" x14ac:dyDescent="0.2">
      <c r="A67" s="199" t="s">
        <v>121</v>
      </c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44" t="s">
        <v>119</v>
      </c>
      <c r="Q67" s="123"/>
      <c r="R67" s="123"/>
      <c r="S67" s="123"/>
      <c r="T67" s="123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</row>
    <row r="68" spans="1:82" ht="20" customHeight="1" x14ac:dyDescent="0.2">
      <c r="A68" s="199"/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52" t="s">
        <v>118</v>
      </c>
      <c r="O68" s="123"/>
      <c r="P68" s="145" t="s">
        <v>120</v>
      </c>
      <c r="Q68" s="123"/>
      <c r="R68" s="123"/>
      <c r="S68" s="123"/>
      <c r="T68" s="123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</row>
    <row r="69" spans="1:82" ht="20" customHeight="1" x14ac:dyDescent="0.2">
      <c r="A69" s="199"/>
      <c r="B69" s="123"/>
      <c r="C69" s="123"/>
      <c r="D69" s="123"/>
      <c r="E69" s="123"/>
      <c r="F69" s="123"/>
      <c r="G69" s="123"/>
      <c r="H69" s="123"/>
      <c r="I69" s="123"/>
      <c r="J69" s="153" cm="1">
        <f t="array" ref="J69:N78">Blueprint!newW_3</f>
        <v>-0.49315618414103657</v>
      </c>
      <c r="K69" s="154">
        <v>-0.82309177079095208</v>
      </c>
      <c r="L69" s="154">
        <v>0.15362209097063642</v>
      </c>
      <c r="M69" s="154">
        <v>-0.55279080476500164</v>
      </c>
      <c r="N69" s="155">
        <v>-0.23904122623027912</v>
      </c>
      <c r="O69" s="156" t="s">
        <v>113</v>
      </c>
      <c r="P69" s="146" cm="1">
        <f t="array" ref="P69:R78">MMULT(Blueprint_inference!J69:N78,Blueprint_inference!P60:R64)</f>
        <v>-0.33698202093459295</v>
      </c>
      <c r="Q69" s="146">
        <v>-0.54274729196418703</v>
      </c>
      <c r="R69" s="146">
        <v>-0.79008166773763422</v>
      </c>
      <c r="S69" s="123"/>
      <c r="T69" s="123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</row>
    <row r="70" spans="1:82" ht="20" customHeight="1" x14ac:dyDescent="0.2">
      <c r="A70" s="199"/>
      <c r="B70" s="123"/>
      <c r="C70" s="123"/>
      <c r="D70" s="123"/>
      <c r="E70" s="123"/>
      <c r="F70" s="123"/>
      <c r="G70" s="123"/>
      <c r="H70" s="123"/>
      <c r="I70" s="123"/>
      <c r="J70" s="153">
        <v>-0.94654135618098056</v>
      </c>
      <c r="K70" s="154">
        <v>-0.10507045233444381</v>
      </c>
      <c r="L70" s="154">
        <v>-0.76364515203274941</v>
      </c>
      <c r="M70" s="154">
        <v>0.74771619919593657</v>
      </c>
      <c r="N70" s="155">
        <v>0.9961696646681979</v>
      </c>
      <c r="O70" s="156" t="s">
        <v>113</v>
      </c>
      <c r="P70" s="147">
        <v>0.75728807490114747</v>
      </c>
      <c r="Q70" s="147">
        <v>1.5784936215201819</v>
      </c>
      <c r="R70" s="147">
        <v>1.79137308567618</v>
      </c>
      <c r="S70" s="123"/>
      <c r="T70" s="123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</row>
    <row r="71" spans="1:82" ht="20" customHeight="1" x14ac:dyDescent="0.2">
      <c r="A71" s="199"/>
      <c r="B71" s="123"/>
      <c r="C71" s="123"/>
      <c r="D71" s="123"/>
      <c r="E71" s="123"/>
      <c r="F71" s="123"/>
      <c r="G71" s="123"/>
      <c r="H71" s="123"/>
      <c r="I71" s="123"/>
      <c r="J71" s="153">
        <v>0.7054778459796569</v>
      </c>
      <c r="K71" s="154">
        <v>-1.0825130857200838E-3</v>
      </c>
      <c r="L71" s="154">
        <v>0.28574525217413282</v>
      </c>
      <c r="M71" s="154">
        <v>0.71203788144347036</v>
      </c>
      <c r="N71" s="155">
        <v>0.17407187792538084</v>
      </c>
      <c r="O71" s="156" t="s">
        <v>113</v>
      </c>
      <c r="P71" s="147">
        <v>0.33794246472554151</v>
      </c>
      <c r="Q71" s="147">
        <v>0.60416887764668203</v>
      </c>
      <c r="R71" s="147">
        <v>0.72103169704405945</v>
      </c>
      <c r="S71" s="123"/>
      <c r="T71" s="123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</row>
    <row r="72" spans="1:82" ht="20" customHeight="1" x14ac:dyDescent="0.2">
      <c r="A72" s="199"/>
      <c r="B72" s="123"/>
      <c r="C72" s="123"/>
      <c r="D72" s="123"/>
      <c r="E72" s="123"/>
      <c r="F72" s="123"/>
      <c r="G72" s="123"/>
      <c r="H72" s="123"/>
      <c r="I72" s="123"/>
      <c r="J72" s="153">
        <v>-0.81648884571631941</v>
      </c>
      <c r="K72" s="154">
        <v>-0.71880932794566321</v>
      </c>
      <c r="L72" s="154">
        <v>0.8990486046325008</v>
      </c>
      <c r="M72" s="154">
        <v>0.85254827346160178</v>
      </c>
      <c r="N72" s="155">
        <v>0.78995747725302101</v>
      </c>
      <c r="O72" s="156" t="s">
        <v>113</v>
      </c>
      <c r="P72" s="147">
        <v>0.55136295004256386</v>
      </c>
      <c r="Q72" s="147">
        <v>1.3829402750512623</v>
      </c>
      <c r="R72" s="147">
        <v>1.3519185797281059</v>
      </c>
      <c r="S72" s="123"/>
      <c r="T72" s="123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</row>
    <row r="73" spans="1:82" ht="20" customHeight="1" x14ac:dyDescent="0.2">
      <c r="A73" s="199"/>
      <c r="B73" s="123"/>
      <c r="C73" s="123"/>
      <c r="D73" s="123"/>
      <c r="E73" s="123"/>
      <c r="F73" s="123"/>
      <c r="G73" s="123"/>
      <c r="H73" s="123"/>
      <c r="I73" s="123"/>
      <c r="J73" s="153">
        <v>0.10063681616659882</v>
      </c>
      <c r="K73" s="154">
        <v>-0.63588558069665246</v>
      </c>
      <c r="L73" s="154">
        <v>9.377691607711959E-2</v>
      </c>
      <c r="M73" s="154">
        <v>-0.44095319067937722</v>
      </c>
      <c r="N73" s="155">
        <v>0.94273550215581114</v>
      </c>
      <c r="O73" s="156" t="s">
        <v>113</v>
      </c>
      <c r="P73" s="147">
        <v>0.99585160649210624</v>
      </c>
      <c r="Q73" s="147">
        <v>0.6820509189934002</v>
      </c>
      <c r="R73" s="147">
        <v>0.49361228723321926</v>
      </c>
      <c r="S73" s="123"/>
      <c r="T73" s="12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</row>
    <row r="74" spans="1:82" ht="20" customHeight="1" x14ac:dyDescent="0.2">
      <c r="A74" s="199"/>
      <c r="B74" s="123"/>
      <c r="C74" s="123"/>
      <c r="D74" s="123"/>
      <c r="E74" s="123"/>
      <c r="F74" s="123"/>
      <c r="G74" s="123"/>
      <c r="H74" s="123"/>
      <c r="I74" s="123"/>
      <c r="J74" s="153">
        <v>0.64539114343285131</v>
      </c>
      <c r="K74" s="154">
        <v>-0.68752976122040954</v>
      </c>
      <c r="L74" s="154">
        <v>0.65395195716633236</v>
      </c>
      <c r="M74" s="154">
        <v>-3.7729901430473188E-2</v>
      </c>
      <c r="N74" s="155">
        <v>-0.83027226064544923</v>
      </c>
      <c r="O74" s="156" t="s">
        <v>113</v>
      </c>
      <c r="P74" s="147">
        <v>-0.65661814153915543</v>
      </c>
      <c r="Q74" s="147">
        <v>-0.8720704890715647</v>
      </c>
      <c r="R74" s="147">
        <v>-1.0436064849412021</v>
      </c>
      <c r="S74" s="123"/>
      <c r="T74" s="123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</row>
    <row r="75" spans="1:82" ht="20" customHeight="1" x14ac:dyDescent="0.2">
      <c r="A75" s="199"/>
      <c r="B75" s="123"/>
      <c r="C75" s="123"/>
      <c r="D75" s="123"/>
      <c r="E75" s="123"/>
      <c r="F75" s="123"/>
      <c r="G75" s="123"/>
      <c r="H75" s="123"/>
      <c r="I75" s="123"/>
      <c r="J75" s="153">
        <v>-0.95507293022765194</v>
      </c>
      <c r="K75" s="154">
        <v>7.4960550054755867E-2</v>
      </c>
      <c r="L75" s="154">
        <v>0.65962564896185916</v>
      </c>
      <c r="M75" s="154">
        <v>0.69178294314451327</v>
      </c>
      <c r="N75" s="155">
        <v>0.363109440975383</v>
      </c>
      <c r="O75" s="156" t="s">
        <v>113</v>
      </c>
      <c r="P75" s="147">
        <v>7.291430115763603E-2</v>
      </c>
      <c r="Q75" s="147">
        <v>0.81658719939277158</v>
      </c>
      <c r="R75" s="147">
        <v>0.89032532240164586</v>
      </c>
      <c r="S75" s="123"/>
      <c r="T75" s="123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</row>
    <row r="76" spans="1:82" ht="20" customHeight="1" x14ac:dyDescent="0.2">
      <c r="A76" s="199"/>
      <c r="B76" s="123"/>
      <c r="C76" s="123"/>
      <c r="D76" s="123"/>
      <c r="E76" s="123"/>
      <c r="F76" s="123"/>
      <c r="G76" s="123"/>
      <c r="H76" s="123"/>
      <c r="I76" s="123"/>
      <c r="J76" s="153">
        <v>-0.23664670150291431</v>
      </c>
      <c r="K76" s="154">
        <v>0.17418853904291218</v>
      </c>
      <c r="L76" s="154">
        <v>0.38823164606733379</v>
      </c>
      <c r="M76" s="154">
        <v>0.44685566207557553</v>
      </c>
      <c r="N76" s="155">
        <v>0.47608422939644324</v>
      </c>
      <c r="O76" s="156" t="s">
        <v>113</v>
      </c>
      <c r="P76" s="147">
        <v>0.3866127865287361</v>
      </c>
      <c r="Q76" s="147">
        <v>0.74858558538663456</v>
      </c>
      <c r="R76" s="147">
        <v>0.8202562766859689</v>
      </c>
      <c r="S76" s="123"/>
      <c r="T76" s="123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</row>
    <row r="77" spans="1:82" ht="20" customHeight="1" x14ac:dyDescent="0.2">
      <c r="A77" s="199"/>
      <c r="B77" s="123"/>
      <c r="C77" s="123"/>
      <c r="D77" s="123"/>
      <c r="E77" s="123"/>
      <c r="F77" s="123"/>
      <c r="G77" s="123"/>
      <c r="H77" s="123"/>
      <c r="I77" s="123"/>
      <c r="J77" s="153">
        <v>0.9788114136695214</v>
      </c>
      <c r="K77" s="154">
        <v>-0.10571381865920085</v>
      </c>
      <c r="L77" s="154">
        <v>-0.79353689453575438</v>
      </c>
      <c r="M77" s="154">
        <v>-0.68110899501087308</v>
      </c>
      <c r="N77" s="155">
        <v>-0.20108659593599409</v>
      </c>
      <c r="O77" s="156" t="s">
        <v>113</v>
      </c>
      <c r="P77" s="147">
        <v>0.10035462315182425</v>
      </c>
      <c r="Q77" s="147">
        <v>-0.63881994509505891</v>
      </c>
      <c r="R77" s="147">
        <v>-0.70019589780208724</v>
      </c>
      <c r="S77" s="123"/>
      <c r="T77" s="123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</row>
    <row r="78" spans="1:82" ht="20" customHeight="1" x14ac:dyDescent="0.2">
      <c r="A78" s="199"/>
      <c r="B78" s="123"/>
      <c r="C78" s="123"/>
      <c r="D78" s="123"/>
      <c r="E78" s="123"/>
      <c r="F78" s="123"/>
      <c r="G78" s="123"/>
      <c r="H78" s="123"/>
      <c r="I78" s="123"/>
      <c r="J78" s="153">
        <v>-0.74863149553441011</v>
      </c>
      <c r="K78" s="154">
        <v>0.53182202272591472</v>
      </c>
      <c r="L78" s="154">
        <v>0.19605317866479155</v>
      </c>
      <c r="M78" s="154">
        <v>0.56334306115772004</v>
      </c>
      <c r="N78" s="155">
        <v>-0.29196166410956287</v>
      </c>
      <c r="O78" s="156" t="s">
        <v>113</v>
      </c>
      <c r="P78" s="148">
        <v>-0.52507457665733093</v>
      </c>
      <c r="Q78" s="148">
        <v>6.4928061322959529E-2</v>
      </c>
      <c r="R78" s="148">
        <v>0.22843329887472669</v>
      </c>
      <c r="S78" s="123"/>
      <c r="T78" s="149" t="str">
        <f>HYPERLINK("#Blueprint!torchcode", "&lt;/&gt;")</f>
        <v>&lt;/&gt;</v>
      </c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</row>
    <row r="79" spans="1:82" ht="20" customHeight="1" x14ac:dyDescent="0.2">
      <c r="A79" s="199"/>
      <c r="B79" s="123"/>
      <c r="C79" s="123"/>
      <c r="D79" s="123"/>
      <c r="E79" s="123"/>
      <c r="F79" s="123"/>
      <c r="G79" s="123"/>
      <c r="H79" s="123"/>
      <c r="I79" s="123"/>
      <c r="J79" s="123"/>
      <c r="K79" s="123"/>
      <c r="L79" s="123"/>
      <c r="M79" s="123"/>
      <c r="N79" s="123"/>
      <c r="O79" s="123"/>
      <c r="P79" s="123"/>
      <c r="Q79" s="123"/>
      <c r="R79" s="123"/>
      <c r="S79" s="123"/>
      <c r="T79" s="150" t="str">
        <f>HYPERLINK("#X", "▲")</f>
        <v>▲</v>
      </c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</row>
    <row r="80" spans="1:82" ht="20" customHeight="1" x14ac:dyDescent="0.2">
      <c r="P80" s="143" t="s">
        <v>117</v>
      </c>
      <c r="Q80" s="143" t="s">
        <v>117</v>
      </c>
      <c r="R80" s="143" t="s">
        <v>117</v>
      </c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</row>
    <row r="81" spans="1:82" ht="20" customHeight="1" x14ac:dyDescent="0.2">
      <c r="A81" s="198" t="s">
        <v>253</v>
      </c>
      <c r="B81" s="130"/>
      <c r="C81" s="130"/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1" t="s">
        <v>250</v>
      </c>
      <c r="Q81" s="130"/>
      <c r="R81" s="130"/>
      <c r="S81" s="130"/>
      <c r="T81" s="130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</row>
    <row r="82" spans="1:82" ht="20" customHeight="1" x14ac:dyDescent="0.2">
      <c r="A82" s="198"/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3" t="s">
        <v>122</v>
      </c>
      <c r="Q82" s="130"/>
      <c r="R82" s="130"/>
      <c r="S82" s="130"/>
      <c r="T82" s="130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</row>
    <row r="83" spans="1:82" ht="20" customHeight="1" x14ac:dyDescent="0.2">
      <c r="A83" s="198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8" cm="1">
        <f t="array" ref="P83:R92">EXP(Blueprint_inference!P69:R78)</f>
        <v>0.71392167543183249</v>
      </c>
      <c r="Q83" s="138">
        <v>0.58114946994973438</v>
      </c>
      <c r="R83" s="138">
        <v>0.45380773231813287</v>
      </c>
      <c r="S83" s="130"/>
      <c r="T83" s="130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</row>
    <row r="84" spans="1:82" ht="20" customHeight="1" x14ac:dyDescent="0.2">
      <c r="A84" s="198"/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9">
        <v>2.1324852314596026</v>
      </c>
      <c r="Q84" s="139">
        <v>4.8476479158929653</v>
      </c>
      <c r="R84" s="139">
        <v>5.9976821465078194</v>
      </c>
      <c r="S84" s="130"/>
      <c r="T84" s="130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</row>
    <row r="85" spans="1:82" ht="20" customHeight="1" x14ac:dyDescent="0.2">
      <c r="A85" s="198"/>
      <c r="B85" s="130"/>
      <c r="C85" s="130"/>
      <c r="D85" s="130"/>
      <c r="E85" s="130"/>
      <c r="F85" s="130"/>
      <c r="G85" s="130"/>
      <c r="H85" s="130"/>
      <c r="I85" s="130"/>
      <c r="J85" s="130"/>
      <c r="K85" s="130"/>
      <c r="L85" s="130"/>
      <c r="M85" s="130"/>
      <c r="N85" s="130"/>
      <c r="O85" s="130"/>
      <c r="P85" s="139">
        <v>1.4020598331873415</v>
      </c>
      <c r="Q85" s="139">
        <v>1.8297308465471043</v>
      </c>
      <c r="R85" s="139">
        <v>2.0565538570587445</v>
      </c>
      <c r="S85" s="130"/>
      <c r="T85" s="130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</row>
    <row r="86" spans="1:82" ht="20" customHeight="1" x14ac:dyDescent="0.2">
      <c r="A86" s="198"/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9">
        <v>1.7356169657473577</v>
      </c>
      <c r="Q86" s="139">
        <v>3.9866061303778704</v>
      </c>
      <c r="R86" s="139">
        <v>3.8648334131570699</v>
      </c>
      <c r="S86" s="130"/>
      <c r="T86" s="130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</row>
    <row r="87" spans="1:82" ht="20" customHeight="1" x14ac:dyDescent="0.2">
      <c r="A87" s="198"/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9">
        <v>2.7070286831448245</v>
      </c>
      <c r="Q87" s="139">
        <v>1.977930149731677</v>
      </c>
      <c r="R87" s="139">
        <v>1.6382232775684573</v>
      </c>
      <c r="S87" s="130"/>
      <c r="T87" s="130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</row>
    <row r="88" spans="1:82" ht="20" customHeight="1" x14ac:dyDescent="0.2">
      <c r="A88" s="198"/>
      <c r="B88" s="130"/>
      <c r="C88" s="130"/>
      <c r="D88" s="130"/>
      <c r="E88" s="130"/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139">
        <v>0.51860221149061869</v>
      </c>
      <c r="Q88" s="139">
        <v>0.41808501203089032</v>
      </c>
      <c r="R88" s="139">
        <v>0.35218224885549415</v>
      </c>
      <c r="S88" s="130"/>
      <c r="T88" s="130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</row>
    <row r="89" spans="1:82" ht="20" customHeight="1" x14ac:dyDescent="0.2">
      <c r="A89" s="198"/>
      <c r="B89" s="130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9">
        <v>1.0756383520031207</v>
      </c>
      <c r="Q89" s="139">
        <v>2.262764281770997</v>
      </c>
      <c r="R89" s="139">
        <v>2.4359219823908913</v>
      </c>
      <c r="S89" s="130"/>
      <c r="T89" s="130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</row>
    <row r="90" spans="1:82" ht="20" customHeight="1" x14ac:dyDescent="0.2">
      <c r="A90" s="198"/>
      <c r="B90" s="130"/>
      <c r="C90" s="130"/>
      <c r="D90" s="130"/>
      <c r="E90" s="130"/>
      <c r="F90" s="130"/>
      <c r="G90" s="130"/>
      <c r="H90" s="130"/>
      <c r="I90" s="130"/>
      <c r="J90" s="130"/>
      <c r="K90" s="130"/>
      <c r="L90" s="130"/>
      <c r="M90" s="130"/>
      <c r="N90" s="130"/>
      <c r="O90" s="130"/>
      <c r="P90" s="139">
        <v>1.4719864079416132</v>
      </c>
      <c r="Q90" s="139">
        <v>2.1140078174566308</v>
      </c>
      <c r="R90" s="139">
        <v>2.2710817882732801</v>
      </c>
      <c r="S90" s="130"/>
      <c r="T90" s="13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</row>
    <row r="91" spans="1:82" ht="20" customHeight="1" x14ac:dyDescent="0.2">
      <c r="A91" s="198"/>
      <c r="B91" s="130"/>
      <c r="C91" s="130"/>
      <c r="D91" s="130"/>
      <c r="E91" s="130"/>
      <c r="F91" s="130"/>
      <c r="G91" s="130"/>
      <c r="H91" s="130"/>
      <c r="I91" s="130"/>
      <c r="J91" s="130"/>
      <c r="K91" s="130"/>
      <c r="L91" s="130"/>
      <c r="M91" s="130"/>
      <c r="N91" s="130"/>
      <c r="O91" s="130"/>
      <c r="P91" s="139">
        <v>1.1055629067699453</v>
      </c>
      <c r="Q91" s="139">
        <v>0.52791502533398316</v>
      </c>
      <c r="R91" s="139">
        <v>0.49648803334969188</v>
      </c>
      <c r="S91" s="130"/>
      <c r="T91" s="130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</row>
    <row r="92" spans="1:82" ht="20" customHeight="1" x14ac:dyDescent="0.2">
      <c r="A92" s="198"/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40">
        <v>0.59151124979009373</v>
      </c>
      <c r="Q92" s="140">
        <v>1.0670822571370868</v>
      </c>
      <c r="R92" s="140">
        <v>1.2566297037211476</v>
      </c>
      <c r="S92" s="130"/>
      <c r="T92" s="130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</row>
    <row r="93" spans="1:82" ht="20" customHeight="1" x14ac:dyDescent="0.2">
      <c r="A93" s="198"/>
      <c r="B93" s="130"/>
      <c r="C93" s="130"/>
      <c r="D93" s="130"/>
      <c r="E93" s="130"/>
      <c r="F93" s="130"/>
      <c r="G93" s="130"/>
      <c r="H93" s="130"/>
      <c r="I93" s="130"/>
      <c r="J93" s="130"/>
      <c r="K93" s="130"/>
      <c r="L93" s="130"/>
      <c r="M93" s="130"/>
      <c r="N93" s="130"/>
      <c r="O93" s="130"/>
      <c r="P93" s="133" t="s">
        <v>251</v>
      </c>
      <c r="Q93" s="130"/>
      <c r="R93" s="130"/>
      <c r="S93" s="130"/>
      <c r="T93" s="130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</row>
    <row r="94" spans="1:82" ht="20" customHeight="1" x14ac:dyDescent="0.2">
      <c r="A94" s="198"/>
      <c r="B94" s="130"/>
      <c r="C94" s="130"/>
      <c r="D94" s="130"/>
      <c r="E94" s="130"/>
      <c r="F94" s="130"/>
      <c r="G94" s="130"/>
      <c r="H94" s="130"/>
      <c r="I94" s="130"/>
      <c r="J94" s="130"/>
      <c r="K94" s="130"/>
      <c r="L94" s="130"/>
      <c r="M94" s="130"/>
      <c r="N94" s="130"/>
      <c r="O94" s="130"/>
      <c r="P94" s="138" cm="1">
        <f t="array" ref="P94:R103">EXP(-Blueprint_inference!P69:R78)</f>
        <v>1.4007138799856809</v>
      </c>
      <c r="Q94" s="138">
        <v>1.7207277158602476</v>
      </c>
      <c r="R94" s="138">
        <v>2.2035763800052881</v>
      </c>
      <c r="S94" s="130"/>
      <c r="T94" s="130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</row>
    <row r="95" spans="1:82" ht="20" customHeight="1" x14ac:dyDescent="0.2">
      <c r="A95" s="198"/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9">
        <v>0.46893642462205432</v>
      </c>
      <c r="Q95" s="139">
        <v>0.20628560847447477</v>
      </c>
      <c r="R95" s="139">
        <v>0.16673107636793574</v>
      </c>
      <c r="S95" s="130"/>
      <c r="T95" s="130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</row>
    <row r="96" spans="1:82" ht="20" customHeight="1" x14ac:dyDescent="0.2">
      <c r="A96" s="198"/>
      <c r="B96" s="130"/>
      <c r="C96" s="130"/>
      <c r="D96" s="130"/>
      <c r="E96" s="130"/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139">
        <v>0.71323632296538464</v>
      </c>
      <c r="Q96" s="139">
        <v>0.54652846995890458</v>
      </c>
      <c r="R96" s="139">
        <v>0.48625033405650098</v>
      </c>
      <c r="S96" s="130"/>
      <c r="T96" s="130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</row>
    <row r="97" spans="1:82" ht="20" customHeight="1" x14ac:dyDescent="0.2">
      <c r="A97" s="198"/>
      <c r="B97" s="130"/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  <c r="N97" s="130"/>
      <c r="O97" s="130"/>
      <c r="P97" s="139">
        <v>0.5761639922489461</v>
      </c>
      <c r="Q97" s="139">
        <v>0.25083992932735871</v>
      </c>
      <c r="R97" s="139">
        <v>0.25874336435710149</v>
      </c>
      <c r="S97" s="130"/>
      <c r="T97" s="130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</row>
    <row r="98" spans="1:82" ht="20" customHeight="1" x14ac:dyDescent="0.2">
      <c r="A98" s="198"/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9">
        <v>0.36940871968828731</v>
      </c>
      <c r="Q98" s="139">
        <v>0.50557902670913757</v>
      </c>
      <c r="R98" s="139">
        <v>0.61041740383780652</v>
      </c>
      <c r="S98" s="130"/>
      <c r="T98" s="130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</row>
    <row r="99" spans="1:82" ht="20" customHeight="1" x14ac:dyDescent="0.2">
      <c r="A99" s="198"/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9">
        <v>1.9282601921918139</v>
      </c>
      <c r="Q99" s="139">
        <v>2.3918580461480756</v>
      </c>
      <c r="R99" s="139">
        <v>2.8394389644843101</v>
      </c>
      <c r="S99" s="130"/>
      <c r="T99" s="130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</row>
    <row r="100" spans="1:82" ht="20" customHeight="1" x14ac:dyDescent="0.2">
      <c r="A100" s="198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9">
        <v>0.92968049915451378</v>
      </c>
      <c r="Q100" s="139">
        <v>0.4419373277438029</v>
      </c>
      <c r="R100" s="139">
        <v>0.4105221789650611</v>
      </c>
      <c r="S100" s="130"/>
      <c r="T100" s="13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</row>
    <row r="101" spans="1:82" ht="20" customHeight="1" x14ac:dyDescent="0.2">
      <c r="A101" s="198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  <c r="N101" s="130"/>
      <c r="O101" s="130"/>
      <c r="P101" s="139">
        <v>0.6793540990628939</v>
      </c>
      <c r="Q101" s="139">
        <v>0.47303514761979598</v>
      </c>
      <c r="R101" s="139">
        <v>0.44031879660322903</v>
      </c>
      <c r="S101" s="130"/>
      <c r="T101" s="130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</row>
    <row r="102" spans="1:82" ht="20" customHeight="1" x14ac:dyDescent="0.2">
      <c r="A102" s="198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139">
        <v>0.90451659862724421</v>
      </c>
      <c r="Q102" s="139">
        <v>1.8942442476748114</v>
      </c>
      <c r="R102" s="139">
        <v>2.0141472358421759</v>
      </c>
      <c r="S102" s="130"/>
      <c r="T102" s="130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</row>
    <row r="103" spans="1:82" ht="20" customHeight="1" x14ac:dyDescent="0.2">
      <c r="A103" s="198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  <c r="N103" s="130"/>
      <c r="O103" s="130"/>
      <c r="P103" s="140">
        <v>1.6905849218503695</v>
      </c>
      <c r="Q103" s="140">
        <v>0.93713487719581789</v>
      </c>
      <c r="R103" s="140">
        <v>0.79577937481406624</v>
      </c>
      <c r="S103" s="130"/>
      <c r="T103" s="130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</row>
    <row r="104" spans="1:82" ht="20" customHeight="1" x14ac:dyDescent="0.2">
      <c r="A104" s="198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  <c r="N104" s="130"/>
      <c r="O104" s="130"/>
      <c r="P104" s="133" t="s">
        <v>252</v>
      </c>
      <c r="Q104" s="130"/>
      <c r="R104" s="130"/>
      <c r="S104" s="130"/>
      <c r="T104" s="130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</row>
    <row r="105" spans="1:82" ht="20" customHeight="1" x14ac:dyDescent="0.2">
      <c r="A105" s="198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138" cm="1">
        <f t="array" ref="P105:R115">_xlfn.VSTACK((Blueprint_inference!P83:R92-Blueprint_inference!P94:R103)/(Blueprint_inference!P83:R92+Blueprint_inference!P94:R103), _xlfn.SEQUENCE(1,3)*0+1)</f>
        <v>-0.32478041088184018</v>
      </c>
      <c r="Q105" s="138">
        <v>-0.49506474669260853</v>
      </c>
      <c r="R105" s="138">
        <v>-0.6584552980401791</v>
      </c>
      <c r="S105" s="130"/>
      <c r="T105" s="130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</row>
    <row r="106" spans="1:82" ht="20" customHeight="1" x14ac:dyDescent="0.2">
      <c r="A106" s="198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139">
        <v>0.6394768041345662</v>
      </c>
      <c r="Q106" s="139">
        <v>0.91836631507720756</v>
      </c>
      <c r="R106" s="139">
        <v>0.94590528884429526</v>
      </c>
      <c r="S106" s="130"/>
      <c r="T106" s="130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</row>
    <row r="107" spans="1:82" ht="20" customHeight="1" x14ac:dyDescent="0.2">
      <c r="A107" s="198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9">
        <v>0.32563927666506065</v>
      </c>
      <c r="Q107" s="139">
        <v>0.54000940371902995</v>
      </c>
      <c r="R107" s="139">
        <v>0.6175479529603598</v>
      </c>
      <c r="S107" s="130"/>
      <c r="T107" s="130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</row>
    <row r="108" spans="1:82" ht="20" customHeight="1" x14ac:dyDescent="0.2">
      <c r="A108" s="198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  <c r="N108" s="130"/>
      <c r="O108" s="130"/>
      <c r="P108" s="139">
        <v>0.50154101732170486</v>
      </c>
      <c r="Q108" s="139">
        <v>0.88160796583930645</v>
      </c>
      <c r="R108" s="139">
        <v>0.87450537321481359</v>
      </c>
      <c r="S108" s="130"/>
      <c r="T108" s="130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</row>
    <row r="109" spans="1:82" ht="20" customHeight="1" x14ac:dyDescent="0.2">
      <c r="A109" s="198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139">
        <v>0.75984642538275204</v>
      </c>
      <c r="Q109" s="139">
        <v>0.59285109029981775</v>
      </c>
      <c r="R109" s="139">
        <v>0.45707875083353799</v>
      </c>
      <c r="S109" s="130"/>
      <c r="T109" s="130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</row>
    <row r="110" spans="1:82" ht="20" customHeight="1" x14ac:dyDescent="0.2">
      <c r="A110" s="198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130"/>
      <c r="M110" s="130"/>
      <c r="N110" s="130"/>
      <c r="O110" s="130"/>
      <c r="P110" s="139">
        <v>-0.57610839848604267</v>
      </c>
      <c r="Q110" s="139">
        <v>-0.70242456635271611</v>
      </c>
      <c r="R110" s="139">
        <v>-0.7793082416024173</v>
      </c>
      <c r="S110" s="130"/>
      <c r="T110" s="13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</row>
    <row r="111" spans="1:82" ht="20" customHeight="1" x14ac:dyDescent="0.2">
      <c r="A111" s="198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139">
        <v>7.2785359178341197E-2</v>
      </c>
      <c r="Q111" s="139">
        <v>0.673208071316168</v>
      </c>
      <c r="R111" s="139">
        <v>0.71155437753642636</v>
      </c>
      <c r="S111" s="130"/>
      <c r="T111" s="130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</row>
    <row r="112" spans="1:82" ht="20" customHeight="1" x14ac:dyDescent="0.2">
      <c r="A112" s="198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130"/>
      <c r="O112" s="130"/>
      <c r="P112" s="139">
        <v>0.36843647311897088</v>
      </c>
      <c r="Q112" s="139">
        <v>0.63430437452682853</v>
      </c>
      <c r="R112" s="139">
        <v>0.67520933715275167</v>
      </c>
      <c r="S112" s="130"/>
      <c r="T112" s="130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</row>
    <row r="113" spans="1:82" ht="20" customHeight="1" x14ac:dyDescent="0.2">
      <c r="A113" s="198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130"/>
      <c r="O113" s="130"/>
      <c r="P113" s="139">
        <v>0.10001908262975626</v>
      </c>
      <c r="Q113" s="139">
        <v>-0.56409553144025115</v>
      </c>
      <c r="R113" s="139">
        <v>-0.6044921064862574</v>
      </c>
      <c r="S113" s="130"/>
      <c r="T113" s="130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</row>
    <row r="114" spans="1:82" ht="20" customHeight="1" x14ac:dyDescent="0.2">
      <c r="A114" s="198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130"/>
      <c r="O114" s="130"/>
      <c r="P114" s="140">
        <v>-0.48160707936783265</v>
      </c>
      <c r="Q114" s="140">
        <v>6.4836976850076361E-2</v>
      </c>
      <c r="R114" s="140">
        <v>0.22454116663525292</v>
      </c>
      <c r="S114" s="130"/>
      <c r="T114" s="130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</row>
    <row r="115" spans="1:82" ht="20" customHeight="1" x14ac:dyDescent="0.2">
      <c r="A115" s="198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130">
        <v>1</v>
      </c>
      <c r="Q115" s="130">
        <v>1</v>
      </c>
      <c r="R115" s="130">
        <v>1</v>
      </c>
      <c r="S115" s="130"/>
      <c r="T115" s="141" t="str">
        <f>HYPERLINK("#Blueprint!torchcode", "&lt;/&gt;")</f>
        <v>&lt;/&gt;</v>
      </c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</row>
    <row r="116" spans="1:82" ht="20" customHeight="1" x14ac:dyDescent="0.2">
      <c r="A116" s="198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130"/>
      <c r="O116" s="130"/>
      <c r="P116" s="130"/>
      <c r="Q116" s="130"/>
      <c r="R116" s="130"/>
      <c r="S116" s="130"/>
      <c r="T116" s="142" t="str">
        <f>HYPERLINK("#X", "▲")</f>
        <v>▲</v>
      </c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</row>
    <row r="117" spans="1:82" ht="20" customHeight="1" x14ac:dyDescent="0.2">
      <c r="P117" s="143" t="s">
        <v>117</v>
      </c>
      <c r="Q117" s="143" t="s">
        <v>117</v>
      </c>
      <c r="R117" s="143" t="s">
        <v>117</v>
      </c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</row>
    <row r="118" spans="1:82" ht="20" customHeight="1" x14ac:dyDescent="0.2">
      <c r="A118" s="199" t="s">
        <v>257</v>
      </c>
      <c r="B118" s="123"/>
      <c r="C118" s="123"/>
      <c r="D118" s="123"/>
      <c r="E118" s="123"/>
      <c r="F118" s="123"/>
      <c r="G118" s="123"/>
      <c r="H118" s="123"/>
      <c r="I118" s="123"/>
      <c r="J118" s="123"/>
      <c r="K118" s="123"/>
      <c r="L118" s="123"/>
      <c r="M118" s="123"/>
      <c r="N118" s="123"/>
      <c r="O118" s="123"/>
      <c r="P118" s="144" t="s">
        <v>255</v>
      </c>
      <c r="Q118" s="123"/>
      <c r="R118" s="123"/>
      <c r="S118" s="123"/>
      <c r="T118" s="123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</row>
    <row r="119" spans="1:82" ht="20" customHeight="1" x14ac:dyDescent="0.2">
      <c r="A119" s="199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52" t="s">
        <v>254</v>
      </c>
      <c r="O119" s="123"/>
      <c r="P119" s="145" t="s">
        <v>256</v>
      </c>
      <c r="Q119" s="123"/>
      <c r="R119" s="123"/>
      <c r="S119" s="123"/>
      <c r="T119" s="123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</row>
    <row r="120" spans="1:82" ht="20" customHeight="1" x14ac:dyDescent="0.2">
      <c r="A120" s="199"/>
      <c r="B120" s="123"/>
      <c r="C120" s="123"/>
      <c r="D120" s="153" cm="1">
        <f t="array" ref="D120:N127">Blueprint!newW_5</f>
        <v>-0.45315949842042003</v>
      </c>
      <c r="E120" s="154">
        <v>-0.88284015061045507</v>
      </c>
      <c r="F120" s="154">
        <v>0.11575559407206036</v>
      </c>
      <c r="G120" s="154">
        <v>-0.60696598785647915</v>
      </c>
      <c r="H120" s="154">
        <v>-0.27735400453368109</v>
      </c>
      <c r="I120" s="154">
        <v>-0.89615727141139578</v>
      </c>
      <c r="J120" s="154">
        <v>-0.14351442044214677</v>
      </c>
      <c r="K120" s="154">
        <v>-0.80211392626686639</v>
      </c>
      <c r="L120" s="154">
        <v>0.77067544207070282</v>
      </c>
      <c r="M120" s="154">
        <v>0.97665492572378054</v>
      </c>
      <c r="N120" s="155">
        <v>0.63870184070199199</v>
      </c>
      <c r="O120" s="156" t="s">
        <v>113</v>
      </c>
      <c r="P120" s="146" cm="1">
        <f t="array" ref="P120:R127">MMULT(Blueprint_inference!D120:N127,Blueprint_inference!P105:R115)</f>
        <v>-0.43911856915115988</v>
      </c>
      <c r="Q120" s="146">
        <v>-0.93207986345215121</v>
      </c>
      <c r="R120" s="146">
        <v>-0.67597742805000971</v>
      </c>
      <c r="S120" s="123"/>
      <c r="T120" s="123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</row>
    <row r="121" spans="1:82" ht="20" customHeight="1" x14ac:dyDescent="0.2">
      <c r="A121" s="199"/>
      <c r="B121" s="123"/>
      <c r="C121" s="123"/>
      <c r="D121" s="153">
        <v>2.3885567826074674E-2</v>
      </c>
      <c r="E121" s="154">
        <v>0.24475272096435285</v>
      </c>
      <c r="F121" s="154">
        <v>0.69790771199209356</v>
      </c>
      <c r="G121" s="154">
        <v>0.15653811953982683</v>
      </c>
      <c r="H121" s="154">
        <v>-0.83942036011957943</v>
      </c>
      <c r="I121" s="154">
        <v>-0.68680649356261481</v>
      </c>
      <c r="J121" s="154">
        <v>0.8726688147117081</v>
      </c>
      <c r="K121" s="154">
        <v>0.82322928673961815</v>
      </c>
      <c r="L121" s="154">
        <v>0.79706200460221543</v>
      </c>
      <c r="M121" s="154">
        <v>9.3080160781360471E-2</v>
      </c>
      <c r="N121" s="155">
        <v>-0.68248499924392325</v>
      </c>
      <c r="O121" s="156" t="s">
        <v>113</v>
      </c>
      <c r="P121" s="147">
        <v>-6.8389442474117712E-2</v>
      </c>
      <c r="Q121" s="147">
        <v>0.69620475948781535</v>
      </c>
      <c r="R121" s="147">
        <v>0.96862402603382991</v>
      </c>
      <c r="S121" s="123"/>
      <c r="T121" s="123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</row>
    <row r="122" spans="1:82" ht="20" customHeight="1" x14ac:dyDescent="0.2">
      <c r="A122" s="199"/>
      <c r="B122" s="123"/>
      <c r="C122" s="123"/>
      <c r="D122" s="153">
        <v>0.10476722439076955</v>
      </c>
      <c r="E122" s="154">
        <v>-0.48865950850630185</v>
      </c>
      <c r="F122" s="154">
        <v>0.88189285284612362</v>
      </c>
      <c r="G122" s="154">
        <v>0.63694189932437928</v>
      </c>
      <c r="H122" s="154">
        <v>-0.6921128084956234</v>
      </c>
      <c r="I122" s="154">
        <v>0.66442992125486511</v>
      </c>
      <c r="J122" s="154">
        <v>-7.1093600347717362E-2</v>
      </c>
      <c r="K122" s="154">
        <v>-0.88306920804491551</v>
      </c>
      <c r="L122" s="154">
        <v>-0.95163020871513793</v>
      </c>
      <c r="M122" s="154">
        <v>7.2360248383199641E-2</v>
      </c>
      <c r="N122" s="155">
        <v>0.65288758880761621</v>
      </c>
      <c r="O122" s="156" t="s">
        <v>113</v>
      </c>
      <c r="P122" s="147">
        <v>-0.45623670279828032</v>
      </c>
      <c r="Q122" s="147">
        <v>0.24649087146613186</v>
      </c>
      <c r="R122" s="147">
        <v>0.3338091760383608</v>
      </c>
      <c r="S122" s="123"/>
      <c r="T122" s="123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</row>
    <row r="123" spans="1:82" ht="20" customHeight="1" x14ac:dyDescent="0.2">
      <c r="A123" s="199"/>
      <c r="B123" s="123"/>
      <c r="C123" s="123"/>
      <c r="D123" s="153">
        <v>0.67976362984434213</v>
      </c>
      <c r="E123" s="154">
        <v>0.38147412810269959</v>
      </c>
      <c r="F123" s="154">
        <v>-0.22637485356120193</v>
      </c>
      <c r="G123" s="154">
        <v>0.18982548145204833</v>
      </c>
      <c r="H123" s="154">
        <v>0.40520981235682241</v>
      </c>
      <c r="I123" s="154">
        <v>0.40683482600655652</v>
      </c>
      <c r="J123" s="154">
        <v>0.45053263862338078</v>
      </c>
      <c r="K123" s="154">
        <v>0.99323560841225689</v>
      </c>
      <c r="L123" s="154">
        <v>-0.10894443570614484</v>
      </c>
      <c r="M123" s="154">
        <v>-0.80213423995099231</v>
      </c>
      <c r="N123" s="155">
        <v>-0.59458200709986697</v>
      </c>
      <c r="O123" s="156" t="s">
        <v>113</v>
      </c>
      <c r="P123" s="147">
        <v>0.29774633760861136</v>
      </c>
      <c r="Q123" s="147">
        <v>0.36155239297839203</v>
      </c>
      <c r="R123" s="147">
        <v>8.9995884229289835E-2</v>
      </c>
      <c r="S123" s="123"/>
      <c r="T123" s="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</row>
    <row r="124" spans="1:82" ht="20" customHeight="1" x14ac:dyDescent="0.2">
      <c r="A124" s="199"/>
      <c r="B124" s="123"/>
      <c r="C124" s="123"/>
      <c r="D124" s="153">
        <v>-0.10524276783689857</v>
      </c>
      <c r="E124" s="154">
        <v>-0.74599776789546013</v>
      </c>
      <c r="F124" s="154">
        <v>0.53752975491806865</v>
      </c>
      <c r="G124" s="154">
        <v>0.18744094390422106</v>
      </c>
      <c r="H124" s="154">
        <v>0.60928811924532056</v>
      </c>
      <c r="I124" s="154">
        <v>-0.2211772371083498</v>
      </c>
      <c r="J124" s="154">
        <v>-0.56846183026209474</v>
      </c>
      <c r="K124" s="154">
        <v>-0.45588106755167246</v>
      </c>
      <c r="L124" s="154">
        <v>-0.96183050191029906</v>
      </c>
      <c r="M124" s="154">
        <v>-0.44405629485845566</v>
      </c>
      <c r="N124" s="155">
        <v>-0.33206332521513104</v>
      </c>
      <c r="O124" s="156" t="s">
        <v>113</v>
      </c>
      <c r="P124" s="147">
        <v>-7.1728791702603822E-3</v>
      </c>
      <c r="Q124" s="147">
        <v>-0.1510499871624478</v>
      </c>
      <c r="R124" s="147">
        <v>-0.25227912222964716</v>
      </c>
      <c r="S124" s="123"/>
      <c r="T124" s="123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</row>
    <row r="125" spans="1:82" ht="20" customHeight="1" x14ac:dyDescent="0.2">
      <c r="A125" s="199"/>
      <c r="B125" s="123"/>
      <c r="C125" s="123"/>
      <c r="D125" s="153">
        <v>0.78321435577461118</v>
      </c>
      <c r="E125" s="154">
        <v>0.88458425136161412</v>
      </c>
      <c r="F125" s="154">
        <v>-0.63213500319496552</v>
      </c>
      <c r="G125" s="154">
        <v>0.7171783219465987</v>
      </c>
      <c r="H125" s="154">
        <v>0.15182164863111339</v>
      </c>
      <c r="I125" s="154">
        <v>-0.30402986588566883</v>
      </c>
      <c r="J125" s="154">
        <v>-0.39162082242732305</v>
      </c>
      <c r="K125" s="154">
        <v>-0.75951792548645991</v>
      </c>
      <c r="L125" s="154">
        <v>0.97408193075459693</v>
      </c>
      <c r="M125" s="154">
        <v>-0.80166828906928567</v>
      </c>
      <c r="N125" s="155">
        <v>0.81388056819819399</v>
      </c>
      <c r="O125" s="156" t="s">
        <v>113</v>
      </c>
      <c r="P125" s="147">
        <v>1.7447181905819393</v>
      </c>
      <c r="Q125" s="147">
        <v>0.48612722896781302</v>
      </c>
      <c r="R125" s="147">
        <v>0.11770641984014307</v>
      </c>
      <c r="S125" s="123"/>
      <c r="T125" s="123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</row>
    <row r="126" spans="1:82" ht="20" customHeight="1" x14ac:dyDescent="0.2">
      <c r="A126" s="199"/>
      <c r="B126" s="123"/>
      <c r="C126" s="123"/>
      <c r="D126" s="153">
        <v>0.61147017544135451</v>
      </c>
      <c r="E126" s="154">
        <v>-0.13408753369003534</v>
      </c>
      <c r="F126" s="154">
        <v>0.42012053960934281</v>
      </c>
      <c r="G126" s="154">
        <v>-0.38667081296443939</v>
      </c>
      <c r="H126" s="154">
        <v>-0.76281368779018521</v>
      </c>
      <c r="I126" s="154">
        <v>1.8466987647116184E-2</v>
      </c>
      <c r="J126" s="154">
        <v>-0.76525073824450374</v>
      </c>
      <c r="K126" s="154">
        <v>-0.51294048689305782</v>
      </c>
      <c r="L126" s="154">
        <v>0.20819027861580253</v>
      </c>
      <c r="M126" s="154">
        <v>0.39564891438931227</v>
      </c>
      <c r="N126" s="155">
        <v>-1.8640184309333563E-2</v>
      </c>
      <c r="O126" s="156" t="s">
        <v>113</v>
      </c>
      <c r="P126" s="147">
        <v>-1.3647727026904073</v>
      </c>
      <c r="Q126" s="147">
        <v>-1.9560484997398575</v>
      </c>
      <c r="R126" s="147">
        <v>-1.9177282259031738</v>
      </c>
      <c r="S126" s="123"/>
      <c r="T126" s="123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</row>
    <row r="127" spans="1:82" ht="20" customHeight="1" x14ac:dyDescent="0.2">
      <c r="A127" s="199"/>
      <c r="B127" s="123"/>
      <c r="C127" s="123"/>
      <c r="D127" s="153">
        <v>-0.59269132414249059</v>
      </c>
      <c r="E127" s="154">
        <v>-0.52707841815863243</v>
      </c>
      <c r="F127" s="154">
        <v>0.40041313952721252</v>
      </c>
      <c r="G127" s="154">
        <v>0.78052052178197218</v>
      </c>
      <c r="H127" s="154">
        <v>0.64281041274672102</v>
      </c>
      <c r="I127" s="154">
        <v>0.37883595417118576</v>
      </c>
      <c r="J127" s="154">
        <v>0.69203692712105958</v>
      </c>
      <c r="K127" s="154">
        <v>-0.18450527814894416</v>
      </c>
      <c r="L127" s="154">
        <v>-0.70246633222185872</v>
      </c>
      <c r="M127" s="154">
        <v>-0.74281822611144477</v>
      </c>
      <c r="N127" s="155">
        <v>9.9710720961215665E-2</v>
      </c>
      <c r="O127" s="156" t="s">
        <v>113</v>
      </c>
      <c r="P127" s="148">
        <v>1.0170689121094278</v>
      </c>
      <c r="Q127" s="148">
        <v>1.6253557508174503</v>
      </c>
      <c r="R127" s="148">
        <v>1.5455182042709072</v>
      </c>
      <c r="S127" s="123"/>
      <c r="T127" s="149" t="str">
        <f>HYPERLINK("#Blueprint!torchcode", "&lt;/&gt;")</f>
        <v>&lt;/&gt;</v>
      </c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</row>
    <row r="128" spans="1:82" ht="20" customHeight="1" x14ac:dyDescent="0.2">
      <c r="A128" s="199"/>
      <c r="B128" s="123"/>
      <c r="C128" s="123"/>
      <c r="D128" s="123"/>
      <c r="E128" s="123"/>
      <c r="F128" s="123"/>
      <c r="G128" s="123"/>
      <c r="H128" s="123"/>
      <c r="I128" s="123"/>
      <c r="J128" s="123"/>
      <c r="K128" s="123"/>
      <c r="L128" s="123"/>
      <c r="M128" s="123"/>
      <c r="N128" s="123"/>
      <c r="O128" s="123"/>
      <c r="P128" s="123"/>
      <c r="Q128" s="123"/>
      <c r="R128" s="123"/>
      <c r="S128" s="123"/>
      <c r="T128" s="150" t="str">
        <f>HYPERLINK("#X", "▲")</f>
        <v>▲</v>
      </c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</row>
    <row r="129" spans="1:82" ht="20" customHeight="1" x14ac:dyDescent="0.2">
      <c r="P129" s="143" t="s">
        <v>117</v>
      </c>
      <c r="Q129" s="143" t="s">
        <v>117</v>
      </c>
      <c r="R129" s="143" t="s">
        <v>117</v>
      </c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</row>
    <row r="130" spans="1:82" ht="20" customHeight="1" x14ac:dyDescent="0.2">
      <c r="A130" s="198" t="s">
        <v>262</v>
      </c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130"/>
      <c r="M130" s="130"/>
      <c r="N130" s="130"/>
      <c r="O130" s="130"/>
      <c r="P130" s="131" t="s">
        <v>258</v>
      </c>
      <c r="Q130" s="130"/>
      <c r="R130" s="130"/>
      <c r="S130" s="130"/>
      <c r="T130" s="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</row>
    <row r="131" spans="1:82" ht="20" customHeight="1" x14ac:dyDescent="0.2">
      <c r="A131" s="198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130"/>
      <c r="M131" s="130"/>
      <c r="N131" s="130"/>
      <c r="O131" s="130"/>
      <c r="P131" s="133" t="s">
        <v>259</v>
      </c>
      <c r="Q131" s="130"/>
      <c r="R131" s="130"/>
      <c r="S131" s="130"/>
      <c r="T131" s="130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</row>
    <row r="132" spans="1:82" ht="20" customHeight="1" x14ac:dyDescent="0.2">
      <c r="A132" s="198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130"/>
      <c r="M132" s="130"/>
      <c r="N132" s="130"/>
      <c r="O132" s="130"/>
      <c r="P132" s="138" cm="1">
        <f t="array" ref="P132:R139">EXP(Blueprint_inference!P120:R127)</f>
        <v>0.64460434490848106</v>
      </c>
      <c r="Q132" s="138">
        <v>0.39373394532468259</v>
      </c>
      <c r="R132" s="138">
        <v>0.5086589999762452</v>
      </c>
      <c r="S132" s="130"/>
      <c r="T132" s="130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</row>
    <row r="133" spans="1:82" ht="20" customHeight="1" x14ac:dyDescent="0.2">
      <c r="A133" s="198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130"/>
      <c r="M133" s="130"/>
      <c r="N133" s="130"/>
      <c r="O133" s="130"/>
      <c r="P133" s="139">
        <v>0.93389670370523037</v>
      </c>
      <c r="Q133" s="139">
        <v>2.0061245161801482</v>
      </c>
      <c r="R133" s="139">
        <v>2.6343172125247718</v>
      </c>
      <c r="S133" s="130"/>
      <c r="T133" s="130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</row>
    <row r="134" spans="1:82" ht="20" customHeight="1" x14ac:dyDescent="0.2">
      <c r="A134" s="198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9">
        <v>0.63366382934404708</v>
      </c>
      <c r="Q134" s="139">
        <v>1.2795275029541451</v>
      </c>
      <c r="R134" s="139">
        <v>1.3962766751043416</v>
      </c>
      <c r="S134" s="130"/>
      <c r="T134" s="130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</row>
    <row r="135" spans="1:82" ht="20" customHeight="1" x14ac:dyDescent="0.2">
      <c r="A135" s="198"/>
      <c r="B135" s="130"/>
      <c r="C135" s="130"/>
      <c r="D135" s="130"/>
      <c r="E135" s="130"/>
      <c r="F135" s="130"/>
      <c r="G135" s="130"/>
      <c r="H135" s="130"/>
      <c r="I135" s="130"/>
      <c r="J135" s="130"/>
      <c r="K135" s="130"/>
      <c r="L135" s="130"/>
      <c r="M135" s="130"/>
      <c r="N135" s="130"/>
      <c r="O135" s="130"/>
      <c r="P135" s="139">
        <v>1.3468201069364878</v>
      </c>
      <c r="Q135" s="139">
        <v>1.4355562330807388</v>
      </c>
      <c r="R135" s="139">
        <v>1.0941697803440091</v>
      </c>
      <c r="S135" s="130"/>
      <c r="T135" s="130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</row>
    <row r="136" spans="1:82" ht="20" customHeight="1" x14ac:dyDescent="0.2">
      <c r="A136" s="198"/>
      <c r="B136" s="130"/>
      <c r="C136" s="130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9">
        <v>0.99285278453000125</v>
      </c>
      <c r="Q136" s="139">
        <v>0.85980471838685213</v>
      </c>
      <c r="R136" s="139">
        <v>0.77702782205912324</v>
      </c>
      <c r="S136" s="130"/>
      <c r="T136" s="130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</row>
    <row r="137" spans="1:82" ht="20" customHeight="1" x14ac:dyDescent="0.2">
      <c r="A137" s="198"/>
      <c r="B137" s="130"/>
      <c r="C137" s="130"/>
      <c r="D137" s="130"/>
      <c r="E137" s="130"/>
      <c r="F137" s="130"/>
      <c r="G137" s="130"/>
      <c r="H137" s="130"/>
      <c r="I137" s="130"/>
      <c r="J137" s="130"/>
      <c r="K137" s="130"/>
      <c r="L137" s="130"/>
      <c r="M137" s="130"/>
      <c r="N137" s="130"/>
      <c r="O137" s="130"/>
      <c r="P137" s="139">
        <v>5.7242880898029531</v>
      </c>
      <c r="Q137" s="139">
        <v>1.6260068582258711</v>
      </c>
      <c r="R137" s="139">
        <v>1.1249138105085108</v>
      </c>
      <c r="S137" s="130"/>
      <c r="T137" s="130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</row>
    <row r="138" spans="1:82" ht="20" customHeight="1" x14ac:dyDescent="0.2">
      <c r="A138" s="198"/>
      <c r="B138" s="130"/>
      <c r="C138" s="130"/>
      <c r="D138" s="130"/>
      <c r="E138" s="130"/>
      <c r="F138" s="130"/>
      <c r="G138" s="130"/>
      <c r="H138" s="130"/>
      <c r="I138" s="130"/>
      <c r="J138" s="130"/>
      <c r="K138" s="130"/>
      <c r="L138" s="130"/>
      <c r="M138" s="130"/>
      <c r="N138" s="130"/>
      <c r="O138" s="130"/>
      <c r="P138" s="139">
        <v>0.2554387299261538</v>
      </c>
      <c r="Q138" s="139">
        <v>0.14141612416453248</v>
      </c>
      <c r="R138" s="139">
        <v>0.14694039863213179</v>
      </c>
      <c r="S138" s="130"/>
      <c r="T138" s="130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</row>
    <row r="139" spans="1:82" ht="20" customHeight="1" x14ac:dyDescent="0.2">
      <c r="A139" s="198"/>
      <c r="B139" s="130"/>
      <c r="C139" s="130"/>
      <c r="D139" s="130"/>
      <c r="E139" s="130"/>
      <c r="F139" s="130"/>
      <c r="G139" s="130"/>
      <c r="H139" s="130"/>
      <c r="I139" s="130"/>
      <c r="J139" s="130"/>
      <c r="K139" s="130"/>
      <c r="L139" s="130"/>
      <c r="M139" s="130"/>
      <c r="N139" s="130"/>
      <c r="O139" s="130"/>
      <c r="P139" s="140">
        <v>2.765078187384086</v>
      </c>
      <c r="Q139" s="140">
        <v>5.0802260103009385</v>
      </c>
      <c r="R139" s="140">
        <v>4.6904015834935615</v>
      </c>
      <c r="S139" s="130"/>
      <c r="T139" s="130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</row>
    <row r="140" spans="1:82" ht="20" customHeight="1" x14ac:dyDescent="0.2">
      <c r="A140" s="198"/>
      <c r="B140" s="130"/>
      <c r="C140" s="130"/>
      <c r="D140" s="130"/>
      <c r="E140" s="130"/>
      <c r="F140" s="130"/>
      <c r="G140" s="130"/>
      <c r="H140" s="130"/>
      <c r="I140" s="130"/>
      <c r="J140" s="130"/>
      <c r="K140" s="130"/>
      <c r="L140" s="130"/>
      <c r="M140" s="130"/>
      <c r="N140" s="130"/>
      <c r="O140" s="130"/>
      <c r="P140" s="133" t="s">
        <v>260</v>
      </c>
      <c r="Q140" s="130"/>
      <c r="R140" s="130"/>
      <c r="S140" s="130"/>
      <c r="T140" s="13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</row>
    <row r="141" spans="1:82" ht="20" customHeight="1" x14ac:dyDescent="0.2">
      <c r="A141" s="198"/>
      <c r="B141" s="130"/>
      <c r="C141" s="130"/>
      <c r="D141" s="130"/>
      <c r="E141" s="130"/>
      <c r="F141" s="130"/>
      <c r="G141" s="130"/>
      <c r="H141" s="130"/>
      <c r="I141" s="130"/>
      <c r="J141" s="130"/>
      <c r="K141" s="130"/>
      <c r="L141" s="130"/>
      <c r="M141" s="130"/>
      <c r="N141" s="130"/>
      <c r="O141" s="130"/>
      <c r="P141" s="138" cm="1">
        <f t="array" ref="P141:R148">EXP(-Blueprint_inference!P120:R127)</f>
        <v>1.5513392174574574</v>
      </c>
      <c r="Q141" s="138">
        <v>2.5397860963584828</v>
      </c>
      <c r="R141" s="138">
        <v>1.9659536153822126</v>
      </c>
      <c r="S141" s="130"/>
      <c r="T141" s="130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</row>
    <row r="142" spans="1:82" ht="20" customHeight="1" x14ac:dyDescent="0.2">
      <c r="A142" s="198"/>
      <c r="B142" s="130"/>
      <c r="C142" s="130"/>
      <c r="D142" s="130"/>
      <c r="E142" s="130"/>
      <c r="F142" s="130"/>
      <c r="G142" s="130"/>
      <c r="H142" s="130"/>
      <c r="I142" s="130"/>
      <c r="J142" s="130"/>
      <c r="K142" s="130"/>
      <c r="L142" s="130"/>
      <c r="M142" s="130"/>
      <c r="N142" s="130"/>
      <c r="O142" s="130"/>
      <c r="P142" s="139">
        <v>1.0707822353719691</v>
      </c>
      <c r="Q142" s="139">
        <v>0.49847354535305471</v>
      </c>
      <c r="R142" s="139">
        <v>0.37960500551927989</v>
      </c>
      <c r="S142" s="130"/>
      <c r="T142" s="130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</row>
    <row r="143" spans="1:82" ht="20" customHeight="1" x14ac:dyDescent="0.2">
      <c r="A143" s="198"/>
      <c r="B143" s="130"/>
      <c r="C143" s="130"/>
      <c r="D143" s="130"/>
      <c r="E143" s="130"/>
      <c r="F143" s="130"/>
      <c r="G143" s="130"/>
      <c r="H143" s="130"/>
      <c r="I143" s="130"/>
      <c r="J143" s="130"/>
      <c r="K143" s="130"/>
      <c r="L143" s="130"/>
      <c r="M143" s="130"/>
      <c r="N143" s="130"/>
      <c r="O143" s="130"/>
      <c r="P143" s="139">
        <v>1.578123846890827</v>
      </c>
      <c r="Q143" s="139">
        <v>0.78153849580507007</v>
      </c>
      <c r="R143" s="139">
        <v>0.71619043548462313</v>
      </c>
      <c r="S143" s="130"/>
      <c r="T143" s="130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</row>
    <row r="144" spans="1:82" ht="20" customHeight="1" x14ac:dyDescent="0.2">
      <c r="A144" s="198"/>
      <c r="B144" s="130"/>
      <c r="C144" s="130"/>
      <c r="D144" s="130"/>
      <c r="E144" s="130"/>
      <c r="F144" s="130"/>
      <c r="G144" s="130"/>
      <c r="H144" s="130"/>
      <c r="I144" s="130"/>
      <c r="J144" s="130"/>
      <c r="K144" s="130"/>
      <c r="L144" s="130"/>
      <c r="M144" s="130"/>
      <c r="N144" s="130"/>
      <c r="O144" s="130"/>
      <c r="P144" s="139">
        <v>0.74248965756430985</v>
      </c>
      <c r="Q144" s="139">
        <v>0.69659409847984533</v>
      </c>
      <c r="R144" s="139">
        <v>0.9139349468101724</v>
      </c>
      <c r="S144" s="130"/>
      <c r="T144" s="130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</row>
    <row r="145" spans="1:82" ht="20" customHeight="1" x14ac:dyDescent="0.2">
      <c r="A145" s="198"/>
      <c r="B145" s="130"/>
      <c r="C145" s="130"/>
      <c r="D145" s="130"/>
      <c r="E145" s="130"/>
      <c r="F145" s="130"/>
      <c r="G145" s="130"/>
      <c r="H145" s="130"/>
      <c r="I145" s="130"/>
      <c r="J145" s="130"/>
      <c r="K145" s="130"/>
      <c r="L145" s="130"/>
      <c r="M145" s="130"/>
      <c r="N145" s="130"/>
      <c r="O145" s="130"/>
      <c r="P145" s="139">
        <v>1.0071986658861838</v>
      </c>
      <c r="Q145" s="139">
        <v>1.1630547944377176</v>
      </c>
      <c r="R145" s="139">
        <v>1.2869552049629325</v>
      </c>
      <c r="S145" s="130"/>
      <c r="T145" s="130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</row>
    <row r="146" spans="1:82" ht="20" customHeight="1" x14ac:dyDescent="0.2">
      <c r="A146" s="198"/>
      <c r="B146" s="130"/>
      <c r="C146" s="130"/>
      <c r="D146" s="130"/>
      <c r="E146" s="130"/>
      <c r="F146" s="130"/>
      <c r="G146" s="130"/>
      <c r="H146" s="130"/>
      <c r="I146" s="130"/>
      <c r="J146" s="130"/>
      <c r="K146" s="130"/>
      <c r="L146" s="130"/>
      <c r="M146" s="130"/>
      <c r="N146" s="130"/>
      <c r="O146" s="130"/>
      <c r="P146" s="139">
        <v>0.17469421250502137</v>
      </c>
      <c r="Q146" s="139">
        <v>0.61500355606808177</v>
      </c>
      <c r="R146" s="139">
        <v>0.88895699444560616</v>
      </c>
      <c r="S146" s="130"/>
      <c r="T146" s="130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</row>
    <row r="147" spans="1:82" ht="20" customHeight="1" x14ac:dyDescent="0.2">
      <c r="A147" s="198"/>
      <c r="B147" s="130"/>
      <c r="C147" s="130"/>
      <c r="D147" s="130"/>
      <c r="E147" s="130"/>
      <c r="F147" s="130"/>
      <c r="G147" s="130"/>
      <c r="H147" s="130"/>
      <c r="I147" s="130"/>
      <c r="J147" s="130"/>
      <c r="K147" s="130"/>
      <c r="L147" s="130"/>
      <c r="M147" s="130"/>
      <c r="N147" s="130"/>
      <c r="O147" s="130"/>
      <c r="P147" s="139">
        <v>3.9148331198213193</v>
      </c>
      <c r="Q147" s="139">
        <v>7.0713294251830625</v>
      </c>
      <c r="R147" s="139">
        <v>6.8054803805420443</v>
      </c>
      <c r="S147" s="130"/>
      <c r="T147" s="130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</row>
    <row r="148" spans="1:82" ht="20" customHeight="1" x14ac:dyDescent="0.2">
      <c r="A148" s="198"/>
      <c r="B148" s="130"/>
      <c r="C148" s="130"/>
      <c r="D148" s="130"/>
      <c r="E148" s="130"/>
      <c r="F148" s="130"/>
      <c r="G148" s="130"/>
      <c r="H148" s="130"/>
      <c r="I148" s="130"/>
      <c r="J148" s="130"/>
      <c r="K148" s="130"/>
      <c r="L148" s="130"/>
      <c r="M148" s="130"/>
      <c r="N148" s="130"/>
      <c r="O148" s="130"/>
      <c r="P148" s="140">
        <v>0.36165342613550261</v>
      </c>
      <c r="Q148" s="140">
        <v>0.19684163617373449</v>
      </c>
      <c r="R148" s="140">
        <v>0.21320136073618839</v>
      </c>
      <c r="S148" s="130"/>
      <c r="T148" s="130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</row>
    <row r="149" spans="1:82" ht="20" customHeight="1" x14ac:dyDescent="0.2">
      <c r="A149" s="198"/>
      <c r="B149" s="130"/>
      <c r="C149" s="130"/>
      <c r="D149" s="130"/>
      <c r="E149" s="130"/>
      <c r="F149" s="130"/>
      <c r="G149" s="130"/>
      <c r="H149" s="130"/>
      <c r="I149" s="130"/>
      <c r="J149" s="130"/>
      <c r="K149" s="130"/>
      <c r="L149" s="130"/>
      <c r="M149" s="130"/>
      <c r="N149" s="130"/>
      <c r="O149" s="130"/>
      <c r="P149" s="133" t="s">
        <v>261</v>
      </c>
      <c r="Q149" s="130"/>
      <c r="R149" s="130"/>
      <c r="S149" s="130"/>
      <c r="T149" s="130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</row>
    <row r="150" spans="1:82" ht="20" customHeight="1" x14ac:dyDescent="0.2">
      <c r="A150" s="198"/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8" cm="1">
        <f t="array" ref="P150:R157">(Blueprint_inference!P132:R139-Blueprint_inference!P141:R148)/(Blueprint_inference!P132:R139+Blueprint_inference!P141:R148)</f>
        <v>-0.41291355938676688</v>
      </c>
      <c r="Q150" s="138">
        <v>-0.73156212350349581</v>
      </c>
      <c r="R150" s="138">
        <v>-0.58889807898068613</v>
      </c>
      <c r="S150" s="130"/>
      <c r="T150" s="13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</row>
    <row r="151" spans="1:82" ht="20" customHeight="1" x14ac:dyDescent="0.2">
      <c r="A151" s="198"/>
      <c r="B151" s="130"/>
      <c r="C151" s="130"/>
      <c r="D151" s="130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9">
        <v>-6.8283019788570432E-2</v>
      </c>
      <c r="Q151" s="139">
        <v>0.60195326107701963</v>
      </c>
      <c r="R151" s="139">
        <v>0.74809900318818945</v>
      </c>
      <c r="S151" s="130"/>
      <c r="T151" s="130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</row>
    <row r="152" spans="1:82" ht="20" customHeight="1" x14ac:dyDescent="0.2">
      <c r="A152" s="198"/>
      <c r="B152" s="130"/>
      <c r="C152" s="130"/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9">
        <v>-0.42701206254776414</v>
      </c>
      <c r="Q152" s="139">
        <v>0.24161720558626945</v>
      </c>
      <c r="R152" s="139">
        <v>0.32193932687080157</v>
      </c>
      <c r="S152" s="130"/>
      <c r="T152" s="130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</row>
    <row r="153" spans="1:82" ht="20" customHeight="1" x14ac:dyDescent="0.2">
      <c r="A153" s="198"/>
      <c r="B153" s="130"/>
      <c r="C153" s="130"/>
      <c r="D153" s="130"/>
      <c r="E153" s="130"/>
      <c r="F153" s="130"/>
      <c r="G153" s="130"/>
      <c r="H153" s="130"/>
      <c r="I153" s="130"/>
      <c r="J153" s="130"/>
      <c r="K153" s="130"/>
      <c r="L153" s="130"/>
      <c r="M153" s="130"/>
      <c r="N153" s="130"/>
      <c r="O153" s="130"/>
      <c r="P153" s="139">
        <v>0.28924885129064221</v>
      </c>
      <c r="Q153" s="139">
        <v>0.34658069070581204</v>
      </c>
      <c r="R153" s="139">
        <v>8.9753702133483576E-2</v>
      </c>
      <c r="S153" s="130"/>
      <c r="T153" s="130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</row>
    <row r="154" spans="1:82" ht="20" customHeight="1" x14ac:dyDescent="0.2">
      <c r="A154" s="198"/>
      <c r="B154" s="130"/>
      <c r="C154" s="130"/>
      <c r="D154" s="130"/>
      <c r="E154" s="130"/>
      <c r="F154" s="130"/>
      <c r="G154" s="130"/>
      <c r="H154" s="130"/>
      <c r="I154" s="130"/>
      <c r="J154" s="130"/>
      <c r="K154" s="130"/>
      <c r="L154" s="130"/>
      <c r="M154" s="130"/>
      <c r="N154" s="130"/>
      <c r="O154" s="130"/>
      <c r="P154" s="139">
        <v>-7.1727561574465182E-3</v>
      </c>
      <c r="Q154" s="139">
        <v>-0.14991158512408495</v>
      </c>
      <c r="R154" s="139">
        <v>-0.24705987221200157</v>
      </c>
      <c r="S154" s="130"/>
      <c r="T154" s="130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</row>
    <row r="155" spans="1:82" ht="20" customHeight="1" x14ac:dyDescent="0.2">
      <c r="A155" s="198"/>
      <c r="B155" s="130"/>
      <c r="C155" s="130"/>
      <c r="D155" s="130"/>
      <c r="E155" s="130"/>
      <c r="F155" s="130"/>
      <c r="G155" s="130"/>
      <c r="H155" s="130"/>
      <c r="I155" s="130"/>
      <c r="J155" s="130"/>
      <c r="K155" s="130"/>
      <c r="L155" s="130"/>
      <c r="M155" s="130"/>
      <c r="N155" s="130"/>
      <c r="O155" s="130"/>
      <c r="P155" s="139">
        <v>0.94077140647237667</v>
      </c>
      <c r="Q155" s="139">
        <v>0.45113726188386027</v>
      </c>
      <c r="R155" s="139">
        <v>0.11716581594134613</v>
      </c>
      <c r="S155" s="130"/>
      <c r="T155" s="130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</row>
    <row r="156" spans="1:82" ht="20" customHeight="1" x14ac:dyDescent="0.2">
      <c r="A156" s="198"/>
      <c r="B156" s="130"/>
      <c r="C156" s="130"/>
      <c r="D156" s="130"/>
      <c r="E156" s="130"/>
      <c r="F156" s="130"/>
      <c r="G156" s="130"/>
      <c r="H156" s="130"/>
      <c r="I156" s="130"/>
      <c r="J156" s="130"/>
      <c r="K156" s="130"/>
      <c r="L156" s="130"/>
      <c r="M156" s="130"/>
      <c r="N156" s="130"/>
      <c r="O156" s="130"/>
      <c r="P156" s="139">
        <v>-0.87749540599295872</v>
      </c>
      <c r="Q156" s="139">
        <v>-0.9607871584552643</v>
      </c>
      <c r="R156" s="139">
        <v>-0.95772971651189798</v>
      </c>
      <c r="S156" s="130"/>
      <c r="T156" s="130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</row>
    <row r="157" spans="1:82" ht="20" customHeight="1" x14ac:dyDescent="0.2">
      <c r="A157" s="198"/>
      <c r="B157" s="130"/>
      <c r="C157" s="130"/>
      <c r="D157" s="130"/>
      <c r="E157" s="130"/>
      <c r="F157" s="130"/>
      <c r="G157" s="130"/>
      <c r="H157" s="130"/>
      <c r="I157" s="130"/>
      <c r="J157" s="130"/>
      <c r="K157" s="130"/>
      <c r="L157" s="130"/>
      <c r="M157" s="130"/>
      <c r="N157" s="130"/>
      <c r="O157" s="130"/>
      <c r="P157" s="140">
        <v>0.7686699910080167</v>
      </c>
      <c r="Q157" s="140">
        <v>0.92539734209955271</v>
      </c>
      <c r="R157" s="140">
        <v>0.91304297547701319</v>
      </c>
      <c r="S157" s="130"/>
      <c r="T157" s="141" t="str">
        <f>HYPERLINK("#Blueprint!torchcode", "&lt;/&gt;")</f>
        <v>&lt;/&gt;</v>
      </c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</row>
    <row r="158" spans="1:82" ht="20" customHeight="1" x14ac:dyDescent="0.2">
      <c r="A158" s="198"/>
      <c r="B158" s="130"/>
      <c r="C158" s="130"/>
      <c r="D158" s="130"/>
      <c r="E158" s="130"/>
      <c r="F158" s="130"/>
      <c r="G158" s="130"/>
      <c r="H158" s="130"/>
      <c r="I158" s="130"/>
      <c r="J158" s="130"/>
      <c r="K158" s="130"/>
      <c r="L158" s="130"/>
      <c r="M158" s="130"/>
      <c r="N158" s="130"/>
      <c r="O158" s="130"/>
      <c r="P158" s="130"/>
      <c r="Q158" s="130"/>
      <c r="R158" s="130"/>
      <c r="S158" s="130"/>
      <c r="T158" s="142" t="str">
        <f>HYPERLINK("#X", "▲")</f>
        <v>▲</v>
      </c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</row>
    <row r="159" spans="1:82" ht="20" customHeight="1" x14ac:dyDescent="0.2">
      <c r="P159" s="143" t="s">
        <v>117</v>
      </c>
      <c r="Q159" s="143" t="s">
        <v>117</v>
      </c>
      <c r="R159" s="143" t="s">
        <v>117</v>
      </c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</row>
    <row r="160" spans="1:82" ht="20" customHeight="1" x14ac:dyDescent="0.2">
      <c r="A160" s="199" t="s">
        <v>265</v>
      </c>
      <c r="B160" s="123"/>
      <c r="C160" s="123"/>
      <c r="D160" s="123"/>
      <c r="E160" s="123"/>
      <c r="F160" s="123"/>
      <c r="G160" s="123"/>
      <c r="H160" s="123"/>
      <c r="I160" s="123"/>
      <c r="J160" s="123"/>
      <c r="K160" s="123"/>
      <c r="L160" s="123"/>
      <c r="M160" s="123"/>
      <c r="N160" s="123"/>
      <c r="O160" s="123"/>
      <c r="P160" s="144" t="s">
        <v>263</v>
      </c>
      <c r="Q160" s="123"/>
      <c r="R160" s="123"/>
      <c r="S160" s="123"/>
      <c r="T160" s="123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</row>
    <row r="161" spans="1:82" ht="20" customHeight="1" x14ac:dyDescent="0.2">
      <c r="A161" s="199"/>
      <c r="B161" s="123"/>
      <c r="C161" s="123"/>
      <c r="D161" s="123"/>
      <c r="E161" s="123"/>
      <c r="F161" s="123"/>
      <c r="G161" s="123"/>
      <c r="H161" s="123"/>
      <c r="I161" s="123"/>
      <c r="J161" s="123"/>
      <c r="K161" s="123"/>
      <c r="L161" s="123"/>
      <c r="M161" s="123"/>
      <c r="N161" s="123"/>
      <c r="O161" s="123"/>
      <c r="P161" s="145" t="s">
        <v>264</v>
      </c>
      <c r="Q161" s="123"/>
      <c r="R161" s="123"/>
      <c r="S161" s="123"/>
      <c r="T161" s="123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</row>
    <row r="162" spans="1:82" ht="20" customHeight="1" x14ac:dyDescent="0.2">
      <c r="A162" s="199"/>
      <c r="B162" s="123"/>
      <c r="C162" s="123"/>
      <c r="D162" s="123"/>
      <c r="E162" s="123"/>
      <c r="F162" s="123"/>
      <c r="G162" s="123"/>
      <c r="H162" s="123"/>
      <c r="I162" s="123"/>
      <c r="J162" s="123"/>
      <c r="K162" s="123"/>
      <c r="L162" s="123"/>
      <c r="M162" s="123"/>
      <c r="N162" s="123"/>
      <c r="O162" s="123"/>
      <c r="P162" s="146" cm="1">
        <f t="array" ref="P162:R169">IF(Blueprint_inference!P150:R157&gt;0, Blueprint_inference!P150:R157, 0)</f>
        <v>0</v>
      </c>
      <c r="Q162" s="146">
        <v>0</v>
      </c>
      <c r="R162" s="146">
        <v>0</v>
      </c>
      <c r="S162" s="123"/>
      <c r="T162" s="123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</row>
    <row r="163" spans="1:82" ht="20" customHeight="1" x14ac:dyDescent="0.2">
      <c r="A163" s="199"/>
      <c r="B163" s="123"/>
      <c r="C163" s="123"/>
      <c r="D163" s="123"/>
      <c r="E163" s="123"/>
      <c r="F163" s="123"/>
      <c r="G163" s="123"/>
      <c r="H163" s="123"/>
      <c r="I163" s="123"/>
      <c r="J163" s="123"/>
      <c r="K163" s="123"/>
      <c r="L163" s="123"/>
      <c r="M163" s="123"/>
      <c r="N163" s="123"/>
      <c r="O163" s="123"/>
      <c r="P163" s="147">
        <v>0</v>
      </c>
      <c r="Q163" s="147">
        <v>0.60195326107701963</v>
      </c>
      <c r="R163" s="147">
        <v>0.74809900318818945</v>
      </c>
      <c r="S163" s="123"/>
      <c r="T163" s="12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</row>
    <row r="164" spans="1:82" ht="20" customHeight="1" x14ac:dyDescent="0.2">
      <c r="A164" s="199"/>
      <c r="B164" s="123"/>
      <c r="C164" s="123"/>
      <c r="D164" s="123"/>
      <c r="E164" s="123"/>
      <c r="F164" s="123"/>
      <c r="G164" s="123"/>
      <c r="H164" s="123"/>
      <c r="I164" s="123"/>
      <c r="J164" s="123"/>
      <c r="K164" s="123"/>
      <c r="L164" s="123"/>
      <c r="M164" s="123"/>
      <c r="N164" s="123"/>
      <c r="O164" s="123"/>
      <c r="P164" s="147">
        <v>0</v>
      </c>
      <c r="Q164" s="147">
        <v>0.24161720558626945</v>
      </c>
      <c r="R164" s="147">
        <v>0.32193932687080157</v>
      </c>
      <c r="S164" s="123"/>
      <c r="T164" s="123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</row>
    <row r="165" spans="1:82" ht="20" customHeight="1" x14ac:dyDescent="0.2">
      <c r="A165" s="199"/>
      <c r="B165" s="123"/>
      <c r="C165" s="123"/>
      <c r="D165" s="123"/>
      <c r="E165" s="123"/>
      <c r="F165" s="123"/>
      <c r="G165" s="123"/>
      <c r="H165" s="123"/>
      <c r="I165" s="123"/>
      <c r="J165" s="123"/>
      <c r="K165" s="123"/>
      <c r="L165" s="123"/>
      <c r="M165" s="123"/>
      <c r="N165" s="123"/>
      <c r="O165" s="123"/>
      <c r="P165" s="147">
        <v>0.28924885129064221</v>
      </c>
      <c r="Q165" s="147">
        <v>0.34658069070581204</v>
      </c>
      <c r="R165" s="147">
        <v>8.9753702133483576E-2</v>
      </c>
      <c r="S165" s="123"/>
      <c r="T165" s="123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</row>
    <row r="166" spans="1:82" ht="20" customHeight="1" x14ac:dyDescent="0.2">
      <c r="A166" s="199"/>
      <c r="B166" s="123"/>
      <c r="C166" s="123"/>
      <c r="D166" s="123"/>
      <c r="E166" s="123"/>
      <c r="F166" s="123"/>
      <c r="G166" s="123"/>
      <c r="H166" s="123"/>
      <c r="I166" s="123"/>
      <c r="J166" s="123"/>
      <c r="K166" s="123"/>
      <c r="L166" s="123"/>
      <c r="M166" s="123"/>
      <c r="N166" s="123"/>
      <c r="O166" s="123"/>
      <c r="P166" s="147">
        <v>0</v>
      </c>
      <c r="Q166" s="147">
        <v>0</v>
      </c>
      <c r="R166" s="147">
        <v>0</v>
      </c>
      <c r="S166" s="123"/>
      <c r="T166" s="123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</row>
    <row r="167" spans="1:82" ht="20" customHeight="1" x14ac:dyDescent="0.2">
      <c r="A167" s="199"/>
      <c r="B167" s="123"/>
      <c r="C167" s="123"/>
      <c r="D167" s="123"/>
      <c r="E167" s="123"/>
      <c r="F167" s="123"/>
      <c r="G167" s="123"/>
      <c r="H167" s="123"/>
      <c r="I167" s="123"/>
      <c r="J167" s="123"/>
      <c r="K167" s="123"/>
      <c r="L167" s="123"/>
      <c r="M167" s="123"/>
      <c r="N167" s="123"/>
      <c r="O167" s="123"/>
      <c r="P167" s="147">
        <v>0.94077140647237667</v>
      </c>
      <c r="Q167" s="147">
        <v>0.45113726188386027</v>
      </c>
      <c r="R167" s="147">
        <v>0.11716581594134613</v>
      </c>
      <c r="S167" s="123"/>
      <c r="T167" s="123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</row>
    <row r="168" spans="1:82" ht="20" customHeight="1" x14ac:dyDescent="0.2">
      <c r="A168" s="199"/>
      <c r="B168" s="123"/>
      <c r="C168" s="123"/>
      <c r="D168" s="123"/>
      <c r="E168" s="123"/>
      <c r="F168" s="123"/>
      <c r="G168" s="123"/>
      <c r="H168" s="123"/>
      <c r="I168" s="123"/>
      <c r="J168" s="123"/>
      <c r="K168" s="123"/>
      <c r="L168" s="123"/>
      <c r="M168" s="123"/>
      <c r="N168" s="123"/>
      <c r="O168" s="123"/>
      <c r="P168" s="147">
        <v>0</v>
      </c>
      <c r="Q168" s="147">
        <v>0</v>
      </c>
      <c r="R168" s="147">
        <v>0</v>
      </c>
      <c r="S168" s="123"/>
      <c r="T168" s="123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</row>
    <row r="169" spans="1:82" ht="20" customHeight="1" x14ac:dyDescent="0.2">
      <c r="A169" s="199"/>
      <c r="B169" s="123"/>
      <c r="C169" s="123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48">
        <v>0.7686699910080167</v>
      </c>
      <c r="Q169" s="148">
        <v>0.92539734209955271</v>
      </c>
      <c r="R169" s="148">
        <v>0.91304297547701319</v>
      </c>
      <c r="S169" s="123"/>
      <c r="T169" s="149" t="str">
        <f>HYPERLINK("#Blueprint!torchcode", "&lt;/&gt;")</f>
        <v>&lt;/&gt;</v>
      </c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</row>
    <row r="170" spans="1:82" ht="20" customHeight="1" x14ac:dyDescent="0.2">
      <c r="A170" s="199"/>
      <c r="B170" s="123"/>
      <c r="C170" s="123"/>
      <c r="D170" s="123"/>
      <c r="E170" s="123"/>
      <c r="F170" s="123"/>
      <c r="G170" s="123"/>
      <c r="H170" s="123"/>
      <c r="I170" s="123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50" t="str">
        <f>HYPERLINK("#X", "▲")</f>
        <v>▲</v>
      </c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</row>
    <row r="171" spans="1:82" ht="20" customHeight="1" x14ac:dyDescent="0.2">
      <c r="P171" s="143" t="s">
        <v>117</v>
      </c>
      <c r="Q171" s="143" t="s">
        <v>117</v>
      </c>
      <c r="R171" s="143" t="s">
        <v>117</v>
      </c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</row>
    <row r="172" spans="1:82" ht="20" customHeight="1" x14ac:dyDescent="0.2">
      <c r="A172" s="198" t="s">
        <v>269</v>
      </c>
      <c r="B172" s="130"/>
      <c r="C172" s="130"/>
      <c r="D172" s="130"/>
      <c r="E172" s="130"/>
      <c r="F172" s="130"/>
      <c r="G172" s="130"/>
      <c r="H172" s="130"/>
      <c r="I172" s="130"/>
      <c r="J172" s="130"/>
      <c r="K172" s="130"/>
      <c r="L172" s="130"/>
      <c r="M172" s="130"/>
      <c r="N172" s="130"/>
      <c r="O172" s="130"/>
      <c r="P172" s="131" t="s">
        <v>266</v>
      </c>
      <c r="Q172" s="130"/>
      <c r="R172" s="130"/>
      <c r="S172" s="130"/>
      <c r="T172" s="130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</row>
    <row r="173" spans="1:82" ht="20" customHeight="1" x14ac:dyDescent="0.2">
      <c r="A173" s="198"/>
      <c r="B173" s="130"/>
      <c r="C173" s="130"/>
      <c r="D173" s="130"/>
      <c r="E173" s="130"/>
      <c r="F173" s="130"/>
      <c r="G173" s="130"/>
      <c r="H173" s="130"/>
      <c r="I173" s="130"/>
      <c r="J173" s="130"/>
      <c r="K173" s="130"/>
      <c r="L173" s="130"/>
      <c r="M173" s="130"/>
      <c r="N173" s="130"/>
      <c r="O173" s="130"/>
      <c r="P173" s="133" t="s">
        <v>267</v>
      </c>
      <c r="Q173" s="130"/>
      <c r="R173" s="130"/>
      <c r="S173" s="130"/>
      <c r="T173" s="130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</row>
    <row r="174" spans="1:82" ht="20" customHeight="1" x14ac:dyDescent="0.2">
      <c r="A174" s="198"/>
      <c r="B174" s="130"/>
      <c r="C174" s="130"/>
      <c r="D174" s="130"/>
      <c r="E174" s="130"/>
      <c r="F174" s="130"/>
      <c r="G174" s="130"/>
      <c r="H174" s="130"/>
      <c r="I174" s="130"/>
      <c r="J174" s="130"/>
      <c r="K174" s="130"/>
      <c r="L174" s="130"/>
      <c r="M174" s="130"/>
      <c r="N174" s="130"/>
      <c r="O174" s="130"/>
      <c r="P174" s="138" cm="1">
        <f t="array" ref="P174:R181">1+ERF(Blueprint_inference!P162:R169/SQRT(2))</f>
        <v>1</v>
      </c>
      <c r="Q174" s="138">
        <v>1</v>
      </c>
      <c r="R174" s="138">
        <v>1</v>
      </c>
      <c r="S174" s="130"/>
      <c r="T174" s="130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</row>
    <row r="175" spans="1:82" ht="20" customHeight="1" x14ac:dyDescent="0.2">
      <c r="A175" s="198"/>
      <c r="B175" s="130"/>
      <c r="C175" s="130"/>
      <c r="D175" s="130"/>
      <c r="E175" s="130"/>
      <c r="F175" s="130"/>
      <c r="G175" s="130"/>
      <c r="H175" s="130"/>
      <c r="I175" s="130"/>
      <c r="J175" s="130"/>
      <c r="K175" s="130"/>
      <c r="L175" s="130"/>
      <c r="M175" s="130"/>
      <c r="N175" s="130"/>
      <c r="O175" s="130"/>
      <c r="P175" s="139">
        <v>1</v>
      </c>
      <c r="Q175" s="139">
        <v>1.452794750467336</v>
      </c>
      <c r="R175" s="139">
        <v>1.5455995567663423</v>
      </c>
      <c r="S175" s="130"/>
      <c r="T175" s="130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</row>
    <row r="176" spans="1:82" ht="20" customHeight="1" x14ac:dyDescent="0.2">
      <c r="A176" s="198"/>
      <c r="B176" s="130"/>
      <c r="C176" s="130"/>
      <c r="D176" s="130"/>
      <c r="E176" s="130"/>
      <c r="F176" s="130"/>
      <c r="G176" s="130"/>
      <c r="H176" s="130"/>
      <c r="I176" s="130"/>
      <c r="J176" s="130"/>
      <c r="K176" s="130"/>
      <c r="L176" s="130"/>
      <c r="M176" s="130"/>
      <c r="N176" s="130"/>
      <c r="O176" s="130"/>
      <c r="P176" s="139">
        <v>1</v>
      </c>
      <c r="Q176" s="139">
        <v>1.1909232110902532</v>
      </c>
      <c r="R176" s="139">
        <v>1.2525013406188903</v>
      </c>
      <c r="S176" s="130"/>
      <c r="T176" s="130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</row>
    <row r="177" spans="1:82" ht="20" customHeight="1" x14ac:dyDescent="0.2">
      <c r="A177" s="198"/>
      <c r="B177" s="130"/>
      <c r="C177" s="130"/>
      <c r="D177" s="130"/>
      <c r="E177" s="130"/>
      <c r="F177" s="130"/>
      <c r="G177" s="130"/>
      <c r="H177" s="130"/>
      <c r="I177" s="130"/>
      <c r="J177" s="130"/>
      <c r="K177" s="130"/>
      <c r="L177" s="130"/>
      <c r="M177" s="130"/>
      <c r="N177" s="130"/>
      <c r="O177" s="130"/>
      <c r="P177" s="139">
        <v>1.2276090492061553</v>
      </c>
      <c r="Q177" s="139">
        <v>1.2710936456158375</v>
      </c>
      <c r="R177" s="139">
        <v>1.0715170600233879</v>
      </c>
      <c r="S177" s="130"/>
      <c r="T177" s="130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</row>
    <row r="178" spans="1:82" ht="20" customHeight="1" x14ac:dyDescent="0.2">
      <c r="A178" s="198"/>
      <c r="B178" s="130"/>
      <c r="C178" s="130"/>
      <c r="D178" s="130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9">
        <v>1</v>
      </c>
      <c r="Q178" s="139">
        <v>1</v>
      </c>
      <c r="R178" s="139">
        <v>1</v>
      </c>
      <c r="S178" s="130"/>
      <c r="T178" s="130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</row>
    <row r="179" spans="1:82" ht="20" customHeight="1" x14ac:dyDescent="0.2">
      <c r="A179" s="198"/>
      <c r="B179" s="130"/>
      <c r="C179" s="130"/>
      <c r="D179" s="130"/>
      <c r="E179" s="130"/>
      <c r="F179" s="130"/>
      <c r="G179" s="130"/>
      <c r="H179" s="130"/>
      <c r="I179" s="130"/>
      <c r="J179" s="130"/>
      <c r="K179" s="130"/>
      <c r="L179" s="130"/>
      <c r="M179" s="130"/>
      <c r="N179" s="130"/>
      <c r="O179" s="130"/>
      <c r="P179" s="139">
        <v>1.6531779830904199</v>
      </c>
      <c r="Q179" s="139">
        <v>1.3481093765965122</v>
      </c>
      <c r="R179" s="139">
        <v>1.0932713447734854</v>
      </c>
      <c r="S179" s="130"/>
      <c r="T179" s="130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</row>
    <row r="180" spans="1:82" ht="20" customHeight="1" x14ac:dyDescent="0.2">
      <c r="A180" s="198"/>
      <c r="B180" s="130"/>
      <c r="C180" s="130"/>
      <c r="D180" s="130"/>
      <c r="E180" s="130"/>
      <c r="F180" s="130"/>
      <c r="G180" s="130"/>
      <c r="H180" s="130"/>
      <c r="I180" s="130"/>
      <c r="J180" s="130"/>
      <c r="K180" s="130"/>
      <c r="L180" s="130"/>
      <c r="M180" s="130"/>
      <c r="N180" s="130"/>
      <c r="O180" s="130"/>
      <c r="P180" s="139">
        <v>1</v>
      </c>
      <c r="Q180" s="139">
        <v>1</v>
      </c>
      <c r="R180" s="139">
        <v>1</v>
      </c>
      <c r="S180" s="130"/>
      <c r="T180" s="13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</row>
    <row r="181" spans="1:82" ht="20" customHeight="1" x14ac:dyDescent="0.2">
      <c r="A181" s="198"/>
      <c r="B181" s="130"/>
      <c r="C181" s="130"/>
      <c r="D181" s="130"/>
      <c r="E181" s="130"/>
      <c r="F181" s="130"/>
      <c r="G181" s="130"/>
      <c r="H181" s="130"/>
      <c r="I181" s="130"/>
      <c r="J181" s="130"/>
      <c r="K181" s="130"/>
      <c r="L181" s="130"/>
      <c r="M181" s="130"/>
      <c r="N181" s="130"/>
      <c r="O181" s="130"/>
      <c r="P181" s="140">
        <v>1.5579107560440628</v>
      </c>
      <c r="Q181" s="140">
        <v>1.6452407391306834</v>
      </c>
      <c r="R181" s="140">
        <v>1.6387800603642499</v>
      </c>
      <c r="S181" s="130"/>
      <c r="T181" s="130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</row>
    <row r="182" spans="1:82" ht="20" customHeight="1" x14ac:dyDescent="0.2">
      <c r="A182" s="198"/>
      <c r="B182" s="130"/>
      <c r="C182" s="130"/>
      <c r="D182" s="130"/>
      <c r="E182" s="130"/>
      <c r="F182" s="130"/>
      <c r="G182" s="130"/>
      <c r="H182" s="130"/>
      <c r="I182" s="130"/>
      <c r="J182" s="130"/>
      <c r="K182" s="130"/>
      <c r="L182" s="130"/>
      <c r="M182" s="130"/>
      <c r="N182" s="130"/>
      <c r="O182" s="130"/>
      <c r="P182" s="133" t="s">
        <v>268</v>
      </c>
      <c r="Q182" s="130"/>
      <c r="R182" s="130"/>
      <c r="S182" s="130"/>
      <c r="T182" s="130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</row>
    <row r="183" spans="1:82" ht="20" customHeight="1" x14ac:dyDescent="0.2">
      <c r="A183" s="198"/>
      <c r="B183" s="130"/>
      <c r="C183" s="130"/>
      <c r="D183" s="130"/>
      <c r="E183" s="130"/>
      <c r="F183" s="130"/>
      <c r="G183" s="130"/>
      <c r="H183" s="130"/>
      <c r="I183" s="130"/>
      <c r="J183" s="130"/>
      <c r="K183" s="130"/>
      <c r="L183" s="130"/>
      <c r="M183" s="130"/>
      <c r="N183" s="130"/>
      <c r="O183" s="130"/>
      <c r="P183" s="138" cm="1">
        <f t="array" ref="P183:R191">_xlfn.VSTACK(0.5*Blueprint_inference!P162:R169*Blueprint_inference!P174:R181, _xlfn.SEQUENCE(1,3)*0+1)</f>
        <v>0</v>
      </c>
      <c r="Q183" s="138">
        <v>0</v>
      </c>
      <c r="R183" s="138">
        <v>0</v>
      </c>
      <c r="S183" s="130"/>
      <c r="T183" s="130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</row>
    <row r="184" spans="1:82" ht="20" customHeight="1" x14ac:dyDescent="0.2">
      <c r="A184" s="198"/>
      <c r="B184" s="130"/>
      <c r="C184" s="130"/>
      <c r="D184" s="130"/>
      <c r="E184" s="130"/>
      <c r="F184" s="130"/>
      <c r="G184" s="130"/>
      <c r="H184" s="130"/>
      <c r="I184" s="130"/>
      <c r="J184" s="130"/>
      <c r="K184" s="130"/>
      <c r="L184" s="130"/>
      <c r="M184" s="130"/>
      <c r="N184" s="130"/>
      <c r="O184" s="130"/>
      <c r="P184" s="139">
        <v>0</v>
      </c>
      <c r="Q184" s="139">
        <v>0.43725726885969396</v>
      </c>
      <c r="R184" s="139">
        <v>0.57813074387250407</v>
      </c>
      <c r="S184" s="130"/>
      <c r="T184" s="130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</row>
    <row r="185" spans="1:82" ht="20" customHeight="1" x14ac:dyDescent="0.2">
      <c r="A185" s="198"/>
      <c r="B185" s="130"/>
      <c r="C185" s="130"/>
      <c r="D185" s="130"/>
      <c r="E185" s="130"/>
      <c r="F185" s="130"/>
      <c r="G185" s="130"/>
      <c r="H185" s="130"/>
      <c r="I185" s="130"/>
      <c r="J185" s="130"/>
      <c r="K185" s="130"/>
      <c r="L185" s="130"/>
      <c r="M185" s="130"/>
      <c r="N185" s="130"/>
      <c r="O185" s="130"/>
      <c r="P185" s="139">
        <v>0</v>
      </c>
      <c r="Q185" s="139">
        <v>0.14387376916572694</v>
      </c>
      <c r="R185" s="139">
        <v>0.20161471925181104</v>
      </c>
      <c r="S185" s="130"/>
      <c r="T185" s="130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</row>
    <row r="186" spans="1:82" ht="20" customHeight="1" x14ac:dyDescent="0.2">
      <c r="A186" s="198"/>
      <c r="B186" s="130"/>
      <c r="C186" s="130"/>
      <c r="D186" s="130"/>
      <c r="E186" s="130"/>
      <c r="F186" s="130"/>
      <c r="G186" s="130"/>
      <c r="H186" s="130"/>
      <c r="I186" s="130"/>
      <c r="J186" s="130"/>
      <c r="K186" s="130"/>
      <c r="L186" s="130"/>
      <c r="M186" s="130"/>
      <c r="N186" s="130"/>
      <c r="O186" s="130"/>
      <c r="P186" s="139">
        <v>0.17754225365843895</v>
      </c>
      <c r="Q186" s="139">
        <v>0.22026825682465281</v>
      </c>
      <c r="R186" s="139">
        <v>4.8086311518142598E-2</v>
      </c>
      <c r="S186" s="130"/>
      <c r="T186" s="130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</row>
    <row r="187" spans="1:82" ht="20" customHeight="1" x14ac:dyDescent="0.2">
      <c r="A187" s="198"/>
      <c r="B187" s="130"/>
      <c r="C187" s="130"/>
      <c r="D187" s="130"/>
      <c r="E187" s="130"/>
      <c r="F187" s="130"/>
      <c r="G187" s="130"/>
      <c r="H187" s="130"/>
      <c r="I187" s="130"/>
      <c r="J187" s="130"/>
      <c r="K187" s="130"/>
      <c r="L187" s="130"/>
      <c r="M187" s="130"/>
      <c r="N187" s="130"/>
      <c r="O187" s="130"/>
      <c r="P187" s="139">
        <v>0</v>
      </c>
      <c r="Q187" s="139">
        <v>0</v>
      </c>
      <c r="R187" s="139">
        <v>0</v>
      </c>
      <c r="S187" s="130"/>
      <c r="T187" s="130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</row>
    <row r="188" spans="1:82" ht="20" customHeight="1" x14ac:dyDescent="0.2">
      <c r="A188" s="198"/>
      <c r="B188" s="130"/>
      <c r="C188" s="130"/>
      <c r="D188" s="130"/>
      <c r="E188" s="130"/>
      <c r="F188" s="130"/>
      <c r="G188" s="130"/>
      <c r="H188" s="130"/>
      <c r="I188" s="130"/>
      <c r="J188" s="130"/>
      <c r="K188" s="130"/>
      <c r="L188" s="130"/>
      <c r="M188" s="130"/>
      <c r="N188" s="130"/>
      <c r="O188" s="130"/>
      <c r="P188" s="139">
        <v>0.77763128815057059</v>
      </c>
      <c r="Q188" s="139">
        <v>0.30409118643885419</v>
      </c>
      <c r="R188" s="139">
        <v>6.4047014577839081E-2</v>
      </c>
      <c r="S188" s="130"/>
      <c r="T188" s="130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</row>
    <row r="189" spans="1:82" ht="20" customHeight="1" x14ac:dyDescent="0.2">
      <c r="A189" s="198"/>
      <c r="B189" s="130"/>
      <c r="C189" s="130"/>
      <c r="D189" s="130"/>
      <c r="E189" s="130"/>
      <c r="F189" s="130"/>
      <c r="G189" s="130"/>
      <c r="H189" s="130"/>
      <c r="I189" s="130"/>
      <c r="J189" s="130"/>
      <c r="K189" s="130"/>
      <c r="L189" s="130"/>
      <c r="M189" s="130"/>
      <c r="N189" s="130"/>
      <c r="O189" s="130"/>
      <c r="P189" s="139">
        <v>0</v>
      </c>
      <c r="Q189" s="139">
        <v>0</v>
      </c>
      <c r="R189" s="139">
        <v>0</v>
      </c>
      <c r="S189" s="130"/>
      <c r="T189" s="130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</row>
    <row r="190" spans="1:82" ht="20" customHeight="1" x14ac:dyDescent="0.2">
      <c r="A190" s="198"/>
      <c r="B190" s="130"/>
      <c r="C190" s="130"/>
      <c r="D190" s="130"/>
      <c r="E190" s="130"/>
      <c r="F190" s="130"/>
      <c r="G190" s="130"/>
      <c r="H190" s="130"/>
      <c r="I190" s="130"/>
      <c r="J190" s="130"/>
      <c r="K190" s="130"/>
      <c r="L190" s="130"/>
      <c r="M190" s="130"/>
      <c r="N190" s="130"/>
      <c r="O190" s="130"/>
      <c r="P190" s="140">
        <v>0.59875962341984112</v>
      </c>
      <c r="Q190" s="140">
        <v>0.76125070355271895</v>
      </c>
      <c r="R190" s="140">
        <v>0.74813831123368701</v>
      </c>
      <c r="S190" s="130"/>
      <c r="T190" s="13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</row>
    <row r="191" spans="1:82" ht="20" customHeight="1" x14ac:dyDescent="0.2">
      <c r="A191" s="198"/>
      <c r="B191" s="130"/>
      <c r="C191" s="130"/>
      <c r="D191" s="130"/>
      <c r="E191" s="130"/>
      <c r="F191" s="130"/>
      <c r="G191" s="130"/>
      <c r="H191" s="130"/>
      <c r="I191" s="130"/>
      <c r="J191" s="130"/>
      <c r="K191" s="130"/>
      <c r="L191" s="130"/>
      <c r="M191" s="130"/>
      <c r="N191" s="130"/>
      <c r="O191" s="130"/>
      <c r="P191" s="130">
        <v>1</v>
      </c>
      <c r="Q191" s="130">
        <v>1</v>
      </c>
      <c r="R191" s="130">
        <v>1</v>
      </c>
      <c r="S191" s="130"/>
      <c r="T191" s="141" t="str">
        <f>HYPERLINK("#Blueprint!torchcode", "&lt;/&gt;")</f>
        <v>&lt;/&gt;</v>
      </c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</row>
    <row r="192" spans="1:82" ht="20" customHeight="1" x14ac:dyDescent="0.2">
      <c r="A192" s="198"/>
      <c r="B192" s="130"/>
      <c r="C192" s="130"/>
      <c r="D192" s="130"/>
      <c r="E192" s="130"/>
      <c r="F192" s="130"/>
      <c r="G192" s="130"/>
      <c r="H192" s="130"/>
      <c r="I192" s="130"/>
      <c r="J192" s="130"/>
      <c r="K192" s="130"/>
      <c r="L192" s="130"/>
      <c r="M192" s="130"/>
      <c r="N192" s="130"/>
      <c r="O192" s="130"/>
      <c r="P192" s="130"/>
      <c r="Q192" s="130"/>
      <c r="R192" s="130"/>
      <c r="S192" s="130"/>
      <c r="T192" s="142" t="str">
        <f>HYPERLINK("#X", "▲")</f>
        <v>▲</v>
      </c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</row>
    <row r="193" spans="1:82" ht="20" customHeight="1" x14ac:dyDescent="0.2">
      <c r="P193" s="143" t="s">
        <v>117</v>
      </c>
      <c r="Q193" s="143" t="s">
        <v>117</v>
      </c>
      <c r="R193" s="143" t="s">
        <v>117</v>
      </c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</row>
    <row r="194" spans="1:82" ht="20" customHeight="1" x14ac:dyDescent="0.2">
      <c r="A194" s="199" t="s">
        <v>273</v>
      </c>
      <c r="B194" s="123"/>
      <c r="C194" s="123"/>
      <c r="D194" s="123"/>
      <c r="E194" s="123"/>
      <c r="F194" s="123"/>
      <c r="G194" s="123"/>
      <c r="H194" s="123"/>
      <c r="I194" s="123"/>
      <c r="J194" s="123"/>
      <c r="K194" s="123"/>
      <c r="L194" s="123"/>
      <c r="M194" s="123"/>
      <c r="N194" s="123"/>
      <c r="O194" s="123"/>
      <c r="P194" s="144" t="s">
        <v>271</v>
      </c>
      <c r="Q194" s="123"/>
      <c r="R194" s="123"/>
      <c r="S194" s="123"/>
      <c r="T194" s="123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</row>
    <row r="195" spans="1:82" ht="20" customHeight="1" x14ac:dyDescent="0.2">
      <c r="A195" s="199"/>
      <c r="B195" s="123"/>
      <c r="C195" s="123"/>
      <c r="D195" s="123"/>
      <c r="E195" s="123"/>
      <c r="F195" s="123"/>
      <c r="G195" s="123"/>
      <c r="H195" s="123"/>
      <c r="I195" s="123"/>
      <c r="J195" s="123"/>
      <c r="K195" s="123"/>
      <c r="L195" s="123"/>
      <c r="M195" s="123"/>
      <c r="N195" s="152" t="s">
        <v>270</v>
      </c>
      <c r="O195" s="123"/>
      <c r="P195" s="145" t="s">
        <v>272</v>
      </c>
      <c r="Q195" s="123"/>
      <c r="R195" s="123"/>
      <c r="S195" s="123"/>
      <c r="T195" s="123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</row>
    <row r="196" spans="1:82" ht="20" customHeight="1" x14ac:dyDescent="0.2">
      <c r="A196" s="199"/>
      <c r="B196" s="123"/>
      <c r="C196" s="123"/>
      <c r="D196" s="123"/>
      <c r="E196" s="123"/>
      <c r="F196" s="153" cm="1">
        <f t="array" ref="F196:N205">Blueprint!newW_9</f>
        <v>-0.49535214618602286</v>
      </c>
      <c r="G196" s="154">
        <v>-0.82580347674683707</v>
      </c>
      <c r="H196" s="154">
        <v>0.15402299511058037</v>
      </c>
      <c r="I196" s="154">
        <v>-0.55500861783240585</v>
      </c>
      <c r="J196" s="154">
        <v>-0.24867960577830672</v>
      </c>
      <c r="K196" s="154">
        <v>-0.95089585939206756</v>
      </c>
      <c r="L196" s="154">
        <v>-0.10543742822483182</v>
      </c>
      <c r="M196" s="154">
        <v>-0.76593484583821791</v>
      </c>
      <c r="N196" s="155">
        <v>0.74290846979672576</v>
      </c>
      <c r="O196" s="156" t="s">
        <v>113</v>
      </c>
      <c r="P196" s="146" cm="1">
        <f t="array" ref="P196:R205">MMULT(Blueprint_inference!F196:N205,Blueprint_inference!P183:R191)</f>
        <v>-0.55368624290741753</v>
      </c>
      <c r="Q196" s="146">
        <v>-0.59049850532050085</v>
      </c>
      <c r="R196" s="146">
        <v>-0.36407616593115277</v>
      </c>
      <c r="S196" s="123"/>
      <c r="T196" s="123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</row>
    <row r="197" spans="1:82" ht="20" customHeight="1" x14ac:dyDescent="0.2">
      <c r="A197" s="199"/>
      <c r="B197" s="123"/>
      <c r="C197" s="123"/>
      <c r="D197" s="123"/>
      <c r="E197" s="123"/>
      <c r="F197" s="153">
        <v>0.98889259591282941</v>
      </c>
      <c r="G197" s="154">
        <v>0.68254692683433116</v>
      </c>
      <c r="H197" s="154">
        <v>-6.9450615856867116E-3</v>
      </c>
      <c r="I197" s="154">
        <v>0.28269918462871152</v>
      </c>
      <c r="J197" s="154">
        <v>0.72291237488389015</v>
      </c>
      <c r="K197" s="154">
        <v>0.17089960541344806</v>
      </c>
      <c r="L197" s="154">
        <v>-0.81849968712776899</v>
      </c>
      <c r="M197" s="154">
        <v>-0.75063497865965279</v>
      </c>
      <c r="N197" s="155">
        <v>0.85041455217479234</v>
      </c>
      <c r="O197" s="156" t="s">
        <v>113</v>
      </c>
      <c r="P197" s="147">
        <v>0.58405256567524655</v>
      </c>
      <c r="Q197" s="147">
        <v>0.69068125984361206</v>
      </c>
      <c r="R197" s="147">
        <v>0.70657647336150686</v>
      </c>
      <c r="S197" s="123"/>
      <c r="T197" s="123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</row>
    <row r="198" spans="1:82" ht="20" customHeight="1" x14ac:dyDescent="0.2">
      <c r="A198" s="199"/>
      <c r="B198" s="123"/>
      <c r="C198" s="123"/>
      <c r="D198" s="123"/>
      <c r="E198" s="123"/>
      <c r="F198" s="153">
        <v>0.84904818754825395</v>
      </c>
      <c r="G198" s="154">
        <v>0.772385530663665</v>
      </c>
      <c r="H198" s="154">
        <v>9.9181457224320771E-2</v>
      </c>
      <c r="I198" s="154">
        <v>-0.63918886957080312</v>
      </c>
      <c r="J198" s="154">
        <v>0.10017094714567065</v>
      </c>
      <c r="K198" s="154">
        <v>-0.48549924394069383</v>
      </c>
      <c r="L198" s="154">
        <v>0.88624332519248128</v>
      </c>
      <c r="M198" s="154">
        <v>0.63585769698225547</v>
      </c>
      <c r="N198" s="155">
        <v>-0.7002526575453768</v>
      </c>
      <c r="O198" s="156" t="s">
        <v>113</v>
      </c>
      <c r="P198" s="147">
        <v>-0.81054917723039432</v>
      </c>
      <c r="Q198" s="147">
        <v>-0.15263379981844472</v>
      </c>
      <c r="R198" s="147">
        <v>0.18016209685676909</v>
      </c>
      <c r="S198" s="123"/>
      <c r="T198" s="123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</row>
    <row r="199" spans="1:82" ht="20" customHeight="1" x14ac:dyDescent="0.2">
      <c r="A199" s="199"/>
      <c r="B199" s="123"/>
      <c r="C199" s="123"/>
      <c r="D199" s="123"/>
      <c r="E199" s="123"/>
      <c r="F199" s="153">
        <v>0.65862647746023617</v>
      </c>
      <c r="G199" s="154">
        <v>-7.1583341751069868E-2</v>
      </c>
      <c r="H199" s="154">
        <v>-0.87985758306811945</v>
      </c>
      <c r="I199" s="154">
        <v>-0.95560136345197677</v>
      </c>
      <c r="J199" s="154">
        <v>7.4577544815838337E-2</v>
      </c>
      <c r="K199" s="154">
        <v>0.65040120615245645</v>
      </c>
      <c r="L199" s="154">
        <v>0.69066423736512661</v>
      </c>
      <c r="M199" s="154">
        <v>0.3523765502174796</v>
      </c>
      <c r="N199" s="155">
        <v>-0.25479037108320324</v>
      </c>
      <c r="O199" s="156" t="s">
        <v>113</v>
      </c>
      <c r="P199" s="147">
        <v>0.2923111875156762</v>
      </c>
      <c r="Q199" s="147">
        <v>-0.15713960973631294</v>
      </c>
      <c r="R199" s="147">
        <v>-0.21423583341065017</v>
      </c>
      <c r="S199" s="123"/>
      <c r="T199" s="123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</row>
    <row r="200" spans="1:82" ht="20" customHeight="1" x14ac:dyDescent="0.2">
      <c r="A200" s="199"/>
      <c r="B200" s="123"/>
      <c r="C200" s="123"/>
      <c r="D200" s="123"/>
      <c r="E200" s="123"/>
      <c r="F200" s="153">
        <v>0.17126056155707817</v>
      </c>
      <c r="G200" s="154">
        <v>0.3891362231257291</v>
      </c>
      <c r="H200" s="154">
        <v>0.42174974883754923</v>
      </c>
      <c r="I200" s="154">
        <v>0.43705591496456025</v>
      </c>
      <c r="J200" s="154">
        <v>0.98057489516213536</v>
      </c>
      <c r="K200" s="154">
        <v>-0.10353213766916088</v>
      </c>
      <c r="L200" s="154">
        <v>-0.80414718249812722</v>
      </c>
      <c r="M200" s="154">
        <v>-0.62139417824009291</v>
      </c>
      <c r="N200" s="155">
        <v>-0.11251689182914518</v>
      </c>
      <c r="O200" s="156" t="s">
        <v>113</v>
      </c>
      <c r="P200" s="147">
        <v>-0.48749657345055752</v>
      </c>
      <c r="Q200" s="147">
        <v>-0.28993594510390841</v>
      </c>
      <c r="R200" s="147">
        <v>-0.25301762905105307</v>
      </c>
      <c r="S200" s="123"/>
      <c r="T200" s="123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</row>
    <row r="201" spans="1:82" ht="20" customHeight="1" x14ac:dyDescent="0.2">
      <c r="A201" s="199"/>
      <c r="B201" s="123"/>
      <c r="C201" s="123"/>
      <c r="D201" s="123"/>
      <c r="E201" s="123"/>
      <c r="F201" s="153">
        <v>-0.74594151801160513</v>
      </c>
      <c r="G201" s="154">
        <v>0.53677525476577248</v>
      </c>
      <c r="H201" s="154">
        <v>0.18712271186891608</v>
      </c>
      <c r="I201" s="154">
        <v>0.60940388743935825</v>
      </c>
      <c r="J201" s="154">
        <v>-0.2211772371083498</v>
      </c>
      <c r="K201" s="154">
        <v>-0.56556444592102872</v>
      </c>
      <c r="L201" s="154">
        <v>-0.45588106755167246</v>
      </c>
      <c r="M201" s="154">
        <v>-0.96089043160437138</v>
      </c>
      <c r="N201" s="155">
        <v>-0.44154759296603202</v>
      </c>
      <c r="O201" s="156" t="s">
        <v>113</v>
      </c>
      <c r="P201" s="147">
        <v>-1.3484956549907299</v>
      </c>
      <c r="Q201" s="147">
        <v>-0.94914600969781859</v>
      </c>
      <c r="R201" s="147">
        <v>-0.81929229653879254</v>
      </c>
      <c r="S201" s="123"/>
      <c r="T201" s="123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</row>
    <row r="202" spans="1:82" ht="20" customHeight="1" x14ac:dyDescent="0.2">
      <c r="A202" s="199"/>
      <c r="B202" s="123"/>
      <c r="C202" s="123"/>
      <c r="D202" s="123"/>
      <c r="E202" s="123"/>
      <c r="F202" s="153">
        <v>-0.33210024419257755</v>
      </c>
      <c r="G202" s="154">
        <v>0.76258451539347538</v>
      </c>
      <c r="H202" s="154">
        <v>0.91089507065789033</v>
      </c>
      <c r="I202" s="154">
        <v>-0.61473573421038885</v>
      </c>
      <c r="J202" s="154">
        <v>0.7426020591519773</v>
      </c>
      <c r="K202" s="154">
        <v>0.16251746411980886</v>
      </c>
      <c r="L202" s="154">
        <v>-0.32663783570751548</v>
      </c>
      <c r="M202" s="154">
        <v>-0.37502927897395755</v>
      </c>
      <c r="N202" s="155">
        <v>-0.74699589785084608</v>
      </c>
      <c r="O202" s="156" t="s">
        <v>113</v>
      </c>
      <c r="P202" s="147">
        <v>-0.95431119038634393</v>
      </c>
      <c r="Q202" s="147">
        <v>-0.65397431081808288</v>
      </c>
      <c r="R202" s="147">
        <v>-0.42219787781991786</v>
      </c>
      <c r="S202" s="123"/>
      <c r="T202" s="123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</row>
    <row r="203" spans="1:82" ht="20" customHeight="1" x14ac:dyDescent="0.2">
      <c r="A203" s="199"/>
      <c r="B203" s="123"/>
      <c r="C203" s="123"/>
      <c r="D203" s="123"/>
      <c r="E203" s="123"/>
      <c r="F203" s="153">
        <v>0.9598722420458452</v>
      </c>
      <c r="G203" s="154">
        <v>-0.79572972882531412</v>
      </c>
      <c r="H203" s="154">
        <v>0.84266075358446269</v>
      </c>
      <c r="I203" s="154">
        <v>0.61127926009559452</v>
      </c>
      <c r="J203" s="154">
        <v>-0.13408753369003534</v>
      </c>
      <c r="K203" s="154">
        <v>0.41633422922312685</v>
      </c>
      <c r="L203" s="154">
        <v>-0.38667081296443939</v>
      </c>
      <c r="M203" s="154">
        <v>-0.76619005640728599</v>
      </c>
      <c r="N203" s="155">
        <v>1.2442037477504515E-2</v>
      </c>
      <c r="O203" s="156" t="s">
        <v>113</v>
      </c>
      <c r="P203" s="147">
        <v>-1.4039211740958884E-2</v>
      </c>
      <c r="Q203" s="147">
        <v>-0.53627352447414589</v>
      </c>
      <c r="R203" s="147">
        <v>-0.79485797682203618</v>
      </c>
      <c r="S203" s="123"/>
      <c r="T203" s="12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</row>
    <row r="204" spans="1:82" ht="20" customHeight="1" x14ac:dyDescent="0.2">
      <c r="A204" s="199"/>
      <c r="B204" s="123"/>
      <c r="C204" s="123"/>
      <c r="D204" s="123"/>
      <c r="E204" s="123"/>
      <c r="F204" s="153">
        <v>-0.76477361951746825</v>
      </c>
      <c r="G204" s="154">
        <v>-0.41026677006889656</v>
      </c>
      <c r="H204" s="154">
        <v>0.23737029353551092</v>
      </c>
      <c r="I204" s="154">
        <v>0.39852728205949534</v>
      </c>
      <c r="J204" s="154">
        <v>-1.8640184309333563E-2</v>
      </c>
      <c r="K204" s="154">
        <v>-0.54711442324733062</v>
      </c>
      <c r="L204" s="154">
        <v>-0.54539888771250844</v>
      </c>
      <c r="M204" s="154">
        <v>0.48946062435880272</v>
      </c>
      <c r="N204" s="155">
        <v>0.90851030817575262</v>
      </c>
      <c r="O204" s="156" t="s">
        <v>113</v>
      </c>
      <c r="P204" s="147">
        <v>0.84688170538130669</v>
      </c>
      <c r="Q204" s="147">
        <v>1.0572820198981812</v>
      </c>
      <c r="R204" s="147">
        <v>1.0694867268148385</v>
      </c>
      <c r="S204" s="123"/>
      <c r="T204" s="123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</row>
    <row r="205" spans="1:82" ht="20" customHeight="1" x14ac:dyDescent="0.2">
      <c r="A205" s="199"/>
      <c r="B205" s="123"/>
      <c r="C205" s="123"/>
      <c r="D205" s="123"/>
      <c r="E205" s="123"/>
      <c r="F205" s="153">
        <v>0.63348588731833655</v>
      </c>
      <c r="G205" s="154">
        <v>0.35378733798346218</v>
      </c>
      <c r="H205" s="154">
        <v>0.66770001878984486</v>
      </c>
      <c r="I205" s="154">
        <v>-0.19822773141190231</v>
      </c>
      <c r="J205" s="154">
        <v>-0.69368571788072586</v>
      </c>
      <c r="K205" s="154">
        <v>-0.77139725567264994</v>
      </c>
      <c r="L205" s="154">
        <v>7.9626218415796757E-2</v>
      </c>
      <c r="M205" s="154">
        <v>0.25768147642798406</v>
      </c>
      <c r="N205" s="155">
        <v>0.90556040603186894</v>
      </c>
      <c r="O205" s="156" t="s">
        <v>113</v>
      </c>
      <c r="P205" s="148">
        <v>0.42479323004315067</v>
      </c>
      <c r="Q205" s="148">
        <v>1.0742428312487096</v>
      </c>
      <c r="R205" s="148">
        <v>1.3785575476331209</v>
      </c>
      <c r="S205" s="123"/>
      <c r="T205" s="149" t="str">
        <f>HYPERLINK("#Blueprint!torchcode", "&lt;/&gt;")</f>
        <v>&lt;/&gt;</v>
      </c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</row>
    <row r="206" spans="1:82" ht="20" customHeight="1" x14ac:dyDescent="0.2">
      <c r="A206" s="199"/>
      <c r="B206" s="123"/>
      <c r="C206" s="123"/>
      <c r="D206" s="123"/>
      <c r="E206" s="123"/>
      <c r="F206" s="123"/>
      <c r="G206" s="123"/>
      <c r="H206" s="123"/>
      <c r="I206" s="123"/>
      <c r="J206" s="123"/>
      <c r="K206" s="123"/>
      <c r="L206" s="123"/>
      <c r="M206" s="123"/>
      <c r="N206" s="123"/>
      <c r="O206" s="123"/>
      <c r="P206" s="123"/>
      <c r="Q206" s="123"/>
      <c r="R206" s="123"/>
      <c r="S206" s="123"/>
      <c r="T206" s="150" t="str">
        <f>HYPERLINK("#X", "▲")</f>
        <v>▲</v>
      </c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</row>
    <row r="207" spans="1:82" ht="20" customHeight="1" x14ac:dyDescent="0.2">
      <c r="P207" s="143" t="s">
        <v>117</v>
      </c>
      <c r="Q207" s="143" t="s">
        <v>117</v>
      </c>
      <c r="R207" s="143" t="s">
        <v>117</v>
      </c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</row>
    <row r="208" spans="1:82" ht="20" customHeight="1" x14ac:dyDescent="0.2">
      <c r="A208" s="198" t="s">
        <v>277</v>
      </c>
      <c r="B208" s="130"/>
      <c r="C208" s="130"/>
      <c r="D208" s="130"/>
      <c r="E208" s="130"/>
      <c r="F208" s="130"/>
      <c r="G208" s="130"/>
      <c r="H208" s="130"/>
      <c r="I208" s="130"/>
      <c r="J208" s="130"/>
      <c r="K208" s="130"/>
      <c r="L208" s="130"/>
      <c r="M208" s="130"/>
      <c r="N208" s="130"/>
      <c r="O208" s="130"/>
      <c r="P208" s="131" t="s">
        <v>274</v>
      </c>
      <c r="Q208" s="130"/>
      <c r="R208" s="130"/>
      <c r="S208" s="130"/>
      <c r="T208" s="130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</row>
    <row r="209" spans="1:82" ht="20" customHeight="1" x14ac:dyDescent="0.2">
      <c r="A209" s="198"/>
      <c r="B209" s="130"/>
      <c r="C209" s="130"/>
      <c r="D209" s="130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3" t="s">
        <v>275</v>
      </c>
      <c r="Q209" s="130"/>
      <c r="R209" s="130"/>
      <c r="S209" s="130"/>
      <c r="T209" s="130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</row>
    <row r="210" spans="1:82" ht="20" customHeight="1" x14ac:dyDescent="0.2">
      <c r="A210" s="198"/>
      <c r="B210" s="130"/>
      <c r="C210" s="130"/>
      <c r="D210" s="130"/>
      <c r="E210" s="130"/>
      <c r="F210" s="130"/>
      <c r="G210" s="130"/>
      <c r="H210" s="130"/>
      <c r="I210" s="130"/>
      <c r="J210" s="130"/>
      <c r="K210" s="130"/>
      <c r="L210" s="130"/>
      <c r="M210" s="130"/>
      <c r="N210" s="130"/>
      <c r="O210" s="130"/>
      <c r="P210" s="138" cm="1">
        <f t="array" ref="P210:R219">1+ERF(Blueprint_inference!P196:R205/SQRT(2))</f>
        <v>0.5797935918859084</v>
      </c>
      <c r="Q210" s="138">
        <v>0.55485648753783545</v>
      </c>
      <c r="R210" s="138">
        <v>0.71580113408667967</v>
      </c>
      <c r="S210" s="130"/>
      <c r="T210" s="13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</row>
    <row r="211" spans="1:82" ht="20" customHeight="1" x14ac:dyDescent="0.2">
      <c r="A211" s="198"/>
      <c r="B211" s="130"/>
      <c r="C211" s="130"/>
      <c r="D211" s="130"/>
      <c r="E211" s="130"/>
      <c r="F211" s="130"/>
      <c r="G211" s="130"/>
      <c r="H211" s="130"/>
      <c r="I211" s="130"/>
      <c r="J211" s="130"/>
      <c r="K211" s="130"/>
      <c r="L211" s="130"/>
      <c r="M211" s="130"/>
      <c r="N211" s="130"/>
      <c r="O211" s="130"/>
      <c r="P211" s="139">
        <v>1.4408150531739219</v>
      </c>
      <c r="Q211" s="139">
        <v>1.510234131263632</v>
      </c>
      <c r="R211" s="139">
        <v>1.5201702864021978</v>
      </c>
      <c r="S211" s="130"/>
      <c r="T211" s="130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</row>
    <row r="212" spans="1:82" ht="20" customHeight="1" x14ac:dyDescent="0.2">
      <c r="A212" s="198"/>
      <c r="B212" s="130"/>
      <c r="C212" s="130"/>
      <c r="D212" s="130"/>
      <c r="E212" s="130"/>
      <c r="F212" s="130"/>
      <c r="G212" s="130"/>
      <c r="H212" s="130"/>
      <c r="I212" s="130"/>
      <c r="J212" s="130"/>
      <c r="K212" s="130"/>
      <c r="L212" s="130"/>
      <c r="M212" s="130"/>
      <c r="N212" s="130"/>
      <c r="O212" s="130"/>
      <c r="P212" s="139">
        <v>0.417624613040805</v>
      </c>
      <c r="Q212" s="139">
        <v>0.87868706889657189</v>
      </c>
      <c r="R212" s="139">
        <v>1.1429746861839505</v>
      </c>
      <c r="S212" s="130"/>
      <c r="T212" s="130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</row>
    <row r="213" spans="1:82" ht="20" customHeight="1" x14ac:dyDescent="0.2">
      <c r="A213" s="198"/>
      <c r="B213" s="130"/>
      <c r="C213" s="130"/>
      <c r="D213" s="130"/>
      <c r="E213" s="130"/>
      <c r="F213" s="130"/>
      <c r="G213" s="130"/>
      <c r="H213" s="130"/>
      <c r="I213" s="130"/>
      <c r="J213" s="130"/>
      <c r="K213" s="130"/>
      <c r="L213" s="130"/>
      <c r="M213" s="130"/>
      <c r="N213" s="130"/>
      <c r="O213" s="130"/>
      <c r="P213" s="139">
        <v>1.2299512942191775</v>
      </c>
      <c r="Q213" s="139">
        <v>0.87513482128575437</v>
      </c>
      <c r="R213" s="139">
        <v>0.83036315369679647</v>
      </c>
      <c r="S213" s="130"/>
      <c r="T213" s="130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</row>
    <row r="214" spans="1:82" ht="20" customHeight="1" x14ac:dyDescent="0.2">
      <c r="A214" s="198"/>
      <c r="B214" s="130"/>
      <c r="C214" s="130"/>
      <c r="D214" s="130"/>
      <c r="E214" s="130"/>
      <c r="F214" s="130"/>
      <c r="G214" s="130"/>
      <c r="H214" s="130"/>
      <c r="I214" s="130"/>
      <c r="J214" s="130"/>
      <c r="K214" s="130"/>
      <c r="L214" s="130"/>
      <c r="M214" s="130"/>
      <c r="N214" s="130"/>
      <c r="O214" s="130"/>
      <c r="P214" s="139">
        <v>0.62590647051346915</v>
      </c>
      <c r="Q214" s="139">
        <v>0.77186524191951522</v>
      </c>
      <c r="R214" s="139">
        <v>0.80025459032598478</v>
      </c>
      <c r="S214" s="130"/>
      <c r="T214" s="130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</row>
    <row r="215" spans="1:82" ht="20" customHeight="1" x14ac:dyDescent="0.2">
      <c r="A215" s="198"/>
      <c r="B215" s="130"/>
      <c r="C215" s="130"/>
      <c r="D215" s="130"/>
      <c r="E215" s="130"/>
      <c r="F215" s="130"/>
      <c r="G215" s="130"/>
      <c r="H215" s="130"/>
      <c r="I215" s="130"/>
      <c r="J215" s="130"/>
      <c r="K215" s="130"/>
      <c r="L215" s="130"/>
      <c r="M215" s="130"/>
      <c r="N215" s="130"/>
      <c r="O215" s="130"/>
      <c r="P215" s="139">
        <v>0.17749901673126312</v>
      </c>
      <c r="Q215" s="139">
        <v>0.3425463565734812</v>
      </c>
      <c r="R215" s="139">
        <v>0.41261966665774652</v>
      </c>
      <c r="S215" s="130"/>
      <c r="T215" s="130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</row>
    <row r="216" spans="1:82" ht="20" customHeight="1" x14ac:dyDescent="0.2">
      <c r="A216" s="198"/>
      <c r="B216" s="130"/>
      <c r="C216" s="130"/>
      <c r="D216" s="130"/>
      <c r="E216" s="130"/>
      <c r="F216" s="130"/>
      <c r="G216" s="130"/>
      <c r="H216" s="130"/>
      <c r="I216" s="130"/>
      <c r="J216" s="130"/>
      <c r="K216" s="130"/>
      <c r="L216" s="130"/>
      <c r="M216" s="130"/>
      <c r="N216" s="130"/>
      <c r="O216" s="130"/>
      <c r="P216" s="139">
        <v>0.33992614527244003</v>
      </c>
      <c r="Q216" s="139">
        <v>0.51312835632460785</v>
      </c>
      <c r="R216" s="139">
        <v>0.67288059038128467</v>
      </c>
      <c r="S216" s="130"/>
      <c r="T216" s="130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</row>
    <row r="217" spans="1:82" ht="20" customHeight="1" x14ac:dyDescent="0.2">
      <c r="A217" s="198"/>
      <c r="B217" s="130"/>
      <c r="C217" s="130"/>
      <c r="D217" s="130"/>
      <c r="E217" s="130"/>
      <c r="F217" s="130"/>
      <c r="G217" s="130"/>
      <c r="H217" s="130"/>
      <c r="I217" s="130"/>
      <c r="J217" s="130"/>
      <c r="K217" s="130"/>
      <c r="L217" s="130"/>
      <c r="M217" s="130"/>
      <c r="N217" s="130"/>
      <c r="O217" s="130"/>
      <c r="P217" s="139">
        <v>0.98879869766904049</v>
      </c>
      <c r="Q217" s="139">
        <v>0.5917695256087927</v>
      </c>
      <c r="R217" s="139">
        <v>0.42669612141513813</v>
      </c>
      <c r="S217" s="130"/>
      <c r="T217" s="130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</row>
    <row r="218" spans="1:82" ht="20" customHeight="1" x14ac:dyDescent="0.2">
      <c r="A218" s="198"/>
      <c r="B218" s="130"/>
      <c r="C218" s="130"/>
      <c r="D218" s="130"/>
      <c r="E218" s="130"/>
      <c r="F218" s="130"/>
      <c r="G218" s="130"/>
      <c r="H218" s="130"/>
      <c r="I218" s="130"/>
      <c r="J218" s="130"/>
      <c r="K218" s="130"/>
      <c r="L218" s="130"/>
      <c r="M218" s="130"/>
      <c r="N218" s="130"/>
      <c r="O218" s="130"/>
      <c r="P218" s="139">
        <v>1.6029389393896492</v>
      </c>
      <c r="Q218" s="139">
        <v>1.7096171033789611</v>
      </c>
      <c r="R218" s="139">
        <v>1.7151495933846528</v>
      </c>
      <c r="S218" s="130"/>
      <c r="T218" s="130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</row>
    <row r="219" spans="1:82" ht="20" customHeight="1" x14ac:dyDescent="0.2">
      <c r="A219" s="198"/>
      <c r="B219" s="130"/>
      <c r="C219" s="130"/>
      <c r="D219" s="130"/>
      <c r="E219" s="130"/>
      <c r="F219" s="130"/>
      <c r="G219" s="130"/>
      <c r="H219" s="130"/>
      <c r="I219" s="130"/>
      <c r="J219" s="130"/>
      <c r="K219" s="130"/>
      <c r="L219" s="130"/>
      <c r="M219" s="130"/>
      <c r="N219" s="130"/>
      <c r="O219" s="130"/>
      <c r="P219" s="140">
        <v>1.3290125867012599</v>
      </c>
      <c r="Q219" s="140">
        <v>1.7172861397391999</v>
      </c>
      <c r="R219" s="140">
        <v>1.8319687868542758</v>
      </c>
      <c r="S219" s="130"/>
      <c r="T219" s="130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</row>
    <row r="220" spans="1:82" ht="20" customHeight="1" x14ac:dyDescent="0.2">
      <c r="A220" s="198"/>
      <c r="B220" s="130"/>
      <c r="C220" s="130"/>
      <c r="D220" s="130"/>
      <c r="E220" s="130"/>
      <c r="F220" s="130"/>
      <c r="G220" s="130"/>
      <c r="H220" s="130"/>
      <c r="I220" s="130"/>
      <c r="J220" s="130"/>
      <c r="K220" s="130"/>
      <c r="L220" s="130"/>
      <c r="M220" s="130"/>
      <c r="N220" s="130"/>
      <c r="O220" s="130"/>
      <c r="P220" s="133" t="s">
        <v>276</v>
      </c>
      <c r="Q220" s="130"/>
      <c r="R220" s="130"/>
      <c r="S220" s="130"/>
      <c r="T220" s="13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</row>
    <row r="221" spans="1:82" ht="20" customHeight="1" x14ac:dyDescent="0.2">
      <c r="A221" s="198"/>
      <c r="B221" s="130"/>
      <c r="C221" s="130"/>
      <c r="D221" s="130"/>
      <c r="E221" s="130"/>
      <c r="F221" s="130"/>
      <c r="G221" s="130"/>
      <c r="H221" s="130"/>
      <c r="I221" s="130"/>
      <c r="J221" s="130"/>
      <c r="K221" s="130"/>
      <c r="L221" s="130"/>
      <c r="M221" s="130"/>
      <c r="N221" s="130"/>
      <c r="O221" s="130"/>
      <c r="P221" s="138" cm="1">
        <f t="array" ref="P221:R230">0.5*Blueprint_inference!P196:R205*Blueprint_inference!P210:R219</f>
        <v>-0.1605118677765526</v>
      </c>
      <c r="Q221" s="138">
        <v>-0.16382096327923748</v>
      </c>
      <c r="R221" s="138">
        <v>-0.13030306623372467</v>
      </c>
      <c r="S221" s="130"/>
      <c r="T221" s="130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</row>
    <row r="222" spans="1:82" ht="20" customHeight="1" x14ac:dyDescent="0.2">
      <c r="A222" s="198"/>
      <c r="B222" s="130"/>
      <c r="C222" s="130"/>
      <c r="D222" s="130"/>
      <c r="E222" s="130"/>
      <c r="F222" s="130"/>
      <c r="G222" s="130"/>
      <c r="H222" s="130"/>
      <c r="I222" s="130"/>
      <c r="J222" s="130"/>
      <c r="K222" s="130"/>
      <c r="L222" s="130"/>
      <c r="M222" s="130"/>
      <c r="N222" s="130"/>
      <c r="O222" s="130"/>
      <c r="P222" s="139">
        <v>0.42075586423487293</v>
      </c>
      <c r="Q222" s="139">
        <v>0.52154520621999423</v>
      </c>
      <c r="R222" s="139">
        <v>0.53705827993750832</v>
      </c>
      <c r="S222" s="130"/>
      <c r="T222" s="130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</row>
    <row r="223" spans="1:82" ht="20" customHeight="1" x14ac:dyDescent="0.2">
      <c r="A223" s="198"/>
      <c r="B223" s="130"/>
      <c r="C223" s="130"/>
      <c r="D223" s="130"/>
      <c r="E223" s="130"/>
      <c r="F223" s="130"/>
      <c r="G223" s="130"/>
      <c r="H223" s="130"/>
      <c r="I223" s="130"/>
      <c r="J223" s="130"/>
      <c r="K223" s="130"/>
      <c r="L223" s="130"/>
      <c r="M223" s="130"/>
      <c r="N223" s="130"/>
      <c r="O223" s="130"/>
      <c r="P223" s="139">
        <v>-0.16925264324569314</v>
      </c>
      <c r="Q223" s="139">
        <v>-6.7058673088507645E-2</v>
      </c>
      <c r="R223" s="139">
        <v>0.10296035805855408</v>
      </c>
      <c r="S223" s="130"/>
      <c r="T223" s="130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</row>
    <row r="224" spans="1:82" ht="20" customHeight="1" x14ac:dyDescent="0.2">
      <c r="A224" s="198"/>
      <c r="B224" s="130"/>
      <c r="C224" s="130"/>
      <c r="D224" s="130"/>
      <c r="E224" s="130"/>
      <c r="F224" s="130"/>
      <c r="G224" s="130"/>
      <c r="H224" s="130"/>
      <c r="I224" s="130"/>
      <c r="J224" s="130"/>
      <c r="K224" s="130"/>
      <c r="L224" s="130"/>
      <c r="M224" s="130"/>
      <c r="N224" s="130"/>
      <c r="O224" s="130"/>
      <c r="P224" s="139">
        <v>0.17976426169982532</v>
      </c>
      <c r="Q224" s="139">
        <v>-6.8759172141750702E-2</v>
      </c>
      <c r="R224" s="139">
        <v>-8.8946771132864491E-2</v>
      </c>
      <c r="S224" s="130"/>
      <c r="T224" s="130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</row>
    <row r="225" spans="1:82" ht="20" customHeight="1" x14ac:dyDescent="0.2">
      <c r="A225" s="198"/>
      <c r="B225" s="130"/>
      <c r="C225" s="130"/>
      <c r="D225" s="130"/>
      <c r="E225" s="130"/>
      <c r="F225" s="130"/>
      <c r="G225" s="130"/>
      <c r="H225" s="130"/>
      <c r="I225" s="130"/>
      <c r="J225" s="130"/>
      <c r="K225" s="130"/>
      <c r="L225" s="130"/>
      <c r="M225" s="130"/>
      <c r="N225" s="130"/>
      <c r="O225" s="130"/>
      <c r="P225" s="139">
        <v>-0.15256362983792432</v>
      </c>
      <c r="Q225" s="139">
        <v>-0.11189573920439577</v>
      </c>
      <c r="R225" s="139">
        <v>-0.10123925954075123</v>
      </c>
      <c r="S225" s="130"/>
      <c r="T225" s="130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</row>
    <row r="226" spans="1:82" ht="20" customHeight="1" x14ac:dyDescent="0.2">
      <c r="A226" s="198"/>
      <c r="B226" s="130"/>
      <c r="C226" s="130"/>
      <c r="D226" s="130"/>
      <c r="E226" s="130"/>
      <c r="F226" s="130"/>
      <c r="G226" s="130"/>
      <c r="H226" s="130"/>
      <c r="I226" s="130"/>
      <c r="J226" s="130"/>
      <c r="K226" s="130"/>
      <c r="L226" s="130"/>
      <c r="M226" s="130"/>
      <c r="N226" s="130"/>
      <c r="O226" s="130"/>
      <c r="P226" s="139">
        <v>-0.11967832641361759</v>
      </c>
      <c r="Q226" s="139">
        <v>-0.16256325373912292</v>
      </c>
      <c r="R226" s="139">
        <v>-0.16902805714654809</v>
      </c>
      <c r="S226" s="130"/>
      <c r="T226" s="130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</row>
    <row r="227" spans="1:82" ht="20" customHeight="1" x14ac:dyDescent="0.2">
      <c r="A227" s="198"/>
      <c r="B227" s="130"/>
      <c r="C227" s="130"/>
      <c r="D227" s="130"/>
      <c r="E227" s="130"/>
      <c r="F227" s="130"/>
      <c r="G227" s="130"/>
      <c r="H227" s="130"/>
      <c r="I227" s="130"/>
      <c r="J227" s="130"/>
      <c r="K227" s="130"/>
      <c r="L227" s="130"/>
      <c r="M227" s="130"/>
      <c r="N227" s="130"/>
      <c r="O227" s="130"/>
      <c r="P227" s="139">
        <v>-0.16219766216919176</v>
      </c>
      <c r="Q227" s="139">
        <v>-0.16778638159430054</v>
      </c>
      <c r="R227" s="139">
        <v>-0.14204437864259592</v>
      </c>
      <c r="S227" s="130"/>
      <c r="T227" s="130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</row>
    <row r="228" spans="1:82" ht="20" customHeight="1" x14ac:dyDescent="0.2">
      <c r="A228" s="198"/>
      <c r="B228" s="130"/>
      <c r="C228" s="130"/>
      <c r="D228" s="130"/>
      <c r="E228" s="130"/>
      <c r="F228" s="130"/>
      <c r="G228" s="130"/>
      <c r="H228" s="130"/>
      <c r="I228" s="130"/>
      <c r="J228" s="130"/>
      <c r="K228" s="130"/>
      <c r="L228" s="130"/>
      <c r="M228" s="130"/>
      <c r="N228" s="130"/>
      <c r="O228" s="130"/>
      <c r="P228" s="139">
        <v>-6.9409771428800239E-3</v>
      </c>
      <c r="Q228" s="139">
        <v>-0.15867516458731029</v>
      </c>
      <c r="R228" s="139">
        <v>-0.16958140789292331</v>
      </c>
      <c r="S228" s="130"/>
      <c r="T228" s="130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</row>
    <row r="229" spans="1:82" ht="20" customHeight="1" x14ac:dyDescent="0.2">
      <c r="A229" s="198"/>
      <c r="B229" s="130"/>
      <c r="C229" s="130"/>
      <c r="D229" s="130"/>
      <c r="E229" s="130"/>
      <c r="F229" s="130"/>
      <c r="G229" s="130"/>
      <c r="H229" s="130"/>
      <c r="I229" s="130"/>
      <c r="J229" s="130"/>
      <c r="K229" s="130"/>
      <c r="L229" s="130"/>
      <c r="M229" s="130"/>
      <c r="N229" s="130"/>
      <c r="O229" s="130"/>
      <c r="P229" s="139">
        <v>0.67874983130620459</v>
      </c>
      <c r="Q229" s="139">
        <v>0.90377371215649283</v>
      </c>
      <c r="R229" s="139">
        <v>0.91716486231337668</v>
      </c>
      <c r="S229" s="130"/>
      <c r="T229" s="130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</row>
    <row r="230" spans="1:82" ht="20" customHeight="1" x14ac:dyDescent="0.2">
      <c r="A230" s="198"/>
      <c r="B230" s="130"/>
      <c r="C230" s="130"/>
      <c r="D230" s="130"/>
      <c r="E230" s="130"/>
      <c r="F230" s="130"/>
      <c r="G230" s="130"/>
      <c r="H230" s="130"/>
      <c r="I230" s="130"/>
      <c r="J230" s="130"/>
      <c r="K230" s="130"/>
      <c r="L230" s="130"/>
      <c r="M230" s="130"/>
      <c r="N230" s="130"/>
      <c r="O230" s="130"/>
      <c r="P230" s="140">
        <v>0.28227777473641552</v>
      </c>
      <c r="Q230" s="140">
        <v>0.92239116240880259</v>
      </c>
      <c r="R230" s="140">
        <v>1.2627371990731269</v>
      </c>
      <c r="S230" s="130"/>
      <c r="T230" s="141" t="str">
        <f>HYPERLINK("#Blueprint!torchcode", "&lt;/&gt;")</f>
        <v>&lt;/&gt;</v>
      </c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</row>
    <row r="231" spans="1:82" ht="20" customHeight="1" x14ac:dyDescent="0.2">
      <c r="A231" s="198"/>
      <c r="B231" s="130"/>
      <c r="C231" s="130"/>
      <c r="D231" s="130"/>
      <c r="E231" s="130"/>
      <c r="F231" s="130"/>
      <c r="G231" s="130"/>
      <c r="H231" s="130"/>
      <c r="I231" s="130"/>
      <c r="J231" s="130"/>
      <c r="K231" s="130"/>
      <c r="L231" s="130"/>
      <c r="M231" s="130"/>
      <c r="N231" s="130"/>
      <c r="O231" s="130"/>
      <c r="P231" s="130"/>
      <c r="Q231" s="130"/>
      <c r="R231" s="130"/>
      <c r="S231" s="130"/>
      <c r="T231" s="142" t="str">
        <f>HYPERLINK("#X", "▲")</f>
        <v>▲</v>
      </c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</row>
    <row r="232" spans="1:82" ht="20" customHeight="1" x14ac:dyDescent="0.2">
      <c r="P232" s="143" t="s">
        <v>117</v>
      </c>
      <c r="Q232" s="143" t="s">
        <v>117</v>
      </c>
      <c r="R232" s="143" t="s">
        <v>117</v>
      </c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</row>
    <row r="233" spans="1:82" ht="20" customHeight="1" x14ac:dyDescent="0.2">
      <c r="A233" s="199" t="s">
        <v>198</v>
      </c>
      <c r="B233" s="123"/>
      <c r="C233" s="123"/>
      <c r="D233" s="123"/>
      <c r="E233" s="123"/>
      <c r="F233" s="123"/>
      <c r="G233" s="123"/>
      <c r="H233" s="123"/>
      <c r="I233" s="123"/>
      <c r="J233" s="123"/>
      <c r="K233" s="123"/>
      <c r="L233" s="123"/>
      <c r="M233" s="123"/>
      <c r="N233" s="123"/>
      <c r="O233" s="123"/>
      <c r="P233" s="144" t="s">
        <v>195</v>
      </c>
      <c r="Q233" s="123"/>
      <c r="R233" s="123"/>
      <c r="S233" s="123"/>
      <c r="T233" s="12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</row>
    <row r="234" spans="1:82" ht="20" customHeight="1" x14ac:dyDescent="0.2">
      <c r="A234" s="199"/>
      <c r="B234" s="123"/>
      <c r="C234" s="123"/>
      <c r="D234" s="123"/>
      <c r="E234" s="123"/>
      <c r="F234" s="123"/>
      <c r="G234" s="123"/>
      <c r="H234" s="123"/>
      <c r="I234" s="123"/>
      <c r="J234" s="123"/>
      <c r="K234" s="123"/>
      <c r="L234" s="123"/>
      <c r="M234" s="123"/>
      <c r="N234" s="123"/>
      <c r="O234" s="123"/>
      <c r="P234" s="145" t="s">
        <v>196</v>
      </c>
      <c r="Q234" s="123"/>
      <c r="R234" s="123"/>
      <c r="S234" s="123"/>
      <c r="T234" s="123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</row>
    <row r="235" spans="1:82" ht="20" customHeight="1" x14ac:dyDescent="0.2">
      <c r="A235" s="199"/>
      <c r="B235" s="123"/>
      <c r="C235" s="123"/>
      <c r="D235" s="123"/>
      <c r="E235" s="123"/>
      <c r="F235" s="123"/>
      <c r="G235" s="123"/>
      <c r="H235" s="123"/>
      <c r="I235" s="123"/>
      <c r="J235" s="123"/>
      <c r="K235" s="123"/>
      <c r="L235" s="123"/>
      <c r="M235" s="123"/>
      <c r="N235" s="123"/>
      <c r="O235" s="123"/>
      <c r="P235" s="146" cm="1">
        <f t="array" ref="P235:R244">EXP(Blueprint_inference!P221:R230)</f>
        <v>0.85170771563511449</v>
      </c>
      <c r="Q235" s="146">
        <v>0.84889399147224032</v>
      </c>
      <c r="R235" s="146">
        <v>0.87782935016754382</v>
      </c>
      <c r="S235" s="123"/>
      <c r="T235" s="123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</row>
    <row r="236" spans="1:82" ht="20" customHeight="1" x14ac:dyDescent="0.2">
      <c r="A236" s="199"/>
      <c r="B236" s="123"/>
      <c r="C236" s="123"/>
      <c r="D236" s="123"/>
      <c r="E236" s="123"/>
      <c r="F236" s="123"/>
      <c r="G236" s="123"/>
      <c r="H236" s="123"/>
      <c r="I236" s="123"/>
      <c r="J236" s="123"/>
      <c r="K236" s="123"/>
      <c r="L236" s="123"/>
      <c r="M236" s="123"/>
      <c r="N236" s="123"/>
      <c r="O236" s="123"/>
      <c r="P236" s="147">
        <v>1.5231123868066532</v>
      </c>
      <c r="Q236" s="147">
        <v>1.684628738377062</v>
      </c>
      <c r="R236" s="147">
        <v>1.7109662680144839</v>
      </c>
      <c r="S236" s="123"/>
      <c r="T236" s="123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</row>
    <row r="237" spans="1:82" ht="20" customHeight="1" x14ac:dyDescent="0.2">
      <c r="A237" s="199"/>
      <c r="B237" s="123"/>
      <c r="C237" s="123"/>
      <c r="D237" s="123"/>
      <c r="E237" s="123"/>
      <c r="F237" s="123"/>
      <c r="G237" s="123"/>
      <c r="H237" s="123"/>
      <c r="I237" s="123"/>
      <c r="J237" s="123"/>
      <c r="K237" s="123"/>
      <c r="L237" s="123"/>
      <c r="M237" s="123"/>
      <c r="N237" s="123"/>
      <c r="O237" s="123"/>
      <c r="P237" s="147">
        <v>0.84429557086531104</v>
      </c>
      <c r="Q237" s="147">
        <v>0.93514033215564452</v>
      </c>
      <c r="R237" s="147">
        <v>1.1084474671954518</v>
      </c>
      <c r="S237" s="123"/>
      <c r="T237" s="123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</row>
    <row r="238" spans="1:82" ht="20" customHeight="1" x14ac:dyDescent="0.2">
      <c r="A238" s="199"/>
      <c r="B238" s="123"/>
      <c r="C238" s="123"/>
      <c r="D238" s="123"/>
      <c r="E238" s="123"/>
      <c r="F238" s="123"/>
      <c r="G238" s="123"/>
      <c r="H238" s="123"/>
      <c r="I238" s="123"/>
      <c r="J238" s="123"/>
      <c r="K238" s="123"/>
      <c r="L238" s="123"/>
      <c r="M238" s="123"/>
      <c r="N238" s="123"/>
      <c r="O238" s="123"/>
      <c r="P238" s="147">
        <v>1.1969351663992829</v>
      </c>
      <c r="Q238" s="147">
        <v>0.93355147821135209</v>
      </c>
      <c r="R238" s="147">
        <v>0.91489427106398191</v>
      </c>
      <c r="S238" s="123"/>
      <c r="T238" s="123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</row>
    <row r="239" spans="1:82" ht="20" customHeight="1" x14ac:dyDescent="0.2">
      <c r="A239" s="199"/>
      <c r="B239" s="123"/>
      <c r="C239" s="123"/>
      <c r="D239" s="123"/>
      <c r="E239" s="123"/>
      <c r="F239" s="123"/>
      <c r="G239" s="123"/>
      <c r="H239" s="123"/>
      <c r="I239" s="123"/>
      <c r="J239" s="123"/>
      <c r="K239" s="123"/>
      <c r="L239" s="123"/>
      <c r="M239" s="123"/>
      <c r="N239" s="123"/>
      <c r="O239" s="123"/>
      <c r="P239" s="147">
        <v>0.8585042657311347</v>
      </c>
      <c r="Q239" s="147">
        <v>0.89413747612538919</v>
      </c>
      <c r="R239" s="147">
        <v>0.90371678415436363</v>
      </c>
      <c r="S239" s="123"/>
      <c r="T239" s="123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</row>
    <row r="240" spans="1:82" ht="20" customHeight="1" x14ac:dyDescent="0.2">
      <c r="A240" s="199"/>
      <c r="B240" s="123"/>
      <c r="C240" s="123"/>
      <c r="D240" s="123"/>
      <c r="E240" s="123"/>
      <c r="F240" s="123"/>
      <c r="G240" s="123"/>
      <c r="H240" s="123"/>
      <c r="I240" s="123"/>
      <c r="J240" s="123"/>
      <c r="K240" s="123"/>
      <c r="L240" s="123"/>
      <c r="M240" s="123"/>
      <c r="N240" s="123"/>
      <c r="O240" s="123"/>
      <c r="P240" s="147">
        <v>0.88720578148634932</v>
      </c>
      <c r="Q240" s="147">
        <v>0.84996232522981319</v>
      </c>
      <c r="R240" s="147">
        <v>0.84448520920836789</v>
      </c>
      <c r="S240" s="123"/>
      <c r="T240" s="123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</row>
    <row r="241" spans="1:82" ht="20" customHeight="1" x14ac:dyDescent="0.2">
      <c r="A241" s="199"/>
      <c r="B241" s="123"/>
      <c r="C241" s="123"/>
      <c r="D241" s="123"/>
      <c r="E241" s="123"/>
      <c r="F241" s="123"/>
      <c r="G241" s="123"/>
      <c r="H241" s="123"/>
      <c r="I241" s="123"/>
      <c r="J241" s="123"/>
      <c r="K241" s="123"/>
      <c r="L241" s="123"/>
      <c r="M241" s="123"/>
      <c r="N241" s="123"/>
      <c r="O241" s="123"/>
      <c r="P241" s="147">
        <v>0.85027312109938957</v>
      </c>
      <c r="Q241" s="147">
        <v>0.84553443711239051</v>
      </c>
      <c r="R241" s="147">
        <v>0.86758275348662561</v>
      </c>
      <c r="S241" s="123"/>
      <c r="T241" s="123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</row>
    <row r="242" spans="1:82" ht="20" customHeight="1" x14ac:dyDescent="0.2">
      <c r="A242" s="199"/>
      <c r="B242" s="123"/>
      <c r="C242" s="123"/>
      <c r="D242" s="123"/>
      <c r="E242" s="123"/>
      <c r="F242" s="123"/>
      <c r="G242" s="123"/>
      <c r="H242" s="123"/>
      <c r="I242" s="123"/>
      <c r="J242" s="123"/>
      <c r="K242" s="123"/>
      <c r="L242" s="123"/>
      <c r="M242" s="123"/>
      <c r="N242" s="123"/>
      <c r="O242" s="123"/>
      <c r="P242" s="147">
        <v>0.99308305580277945</v>
      </c>
      <c r="Q242" s="147">
        <v>0.85327348740154763</v>
      </c>
      <c r="R242" s="147">
        <v>0.84401804195314478</v>
      </c>
      <c r="S242" s="123"/>
      <c r="T242" s="123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</row>
    <row r="243" spans="1:82" ht="20" customHeight="1" x14ac:dyDescent="0.2">
      <c r="A243" s="199"/>
      <c r="B243" s="123"/>
      <c r="C243" s="123"/>
      <c r="D243" s="123"/>
      <c r="E243" s="123"/>
      <c r="F243" s="123"/>
      <c r="G243" s="123"/>
      <c r="H243" s="123"/>
      <c r="I243" s="123"/>
      <c r="J243" s="123"/>
      <c r="K243" s="123"/>
      <c r="L243" s="123"/>
      <c r="M243" s="123"/>
      <c r="N243" s="123"/>
      <c r="O243" s="123"/>
      <c r="P243" s="147">
        <v>1.9714115939498682</v>
      </c>
      <c r="Q243" s="147">
        <v>2.4689024808539575</v>
      </c>
      <c r="R243" s="147">
        <v>2.5021862815064484</v>
      </c>
      <c r="S243" s="123"/>
      <c r="T243" s="12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</row>
    <row r="244" spans="1:82" ht="20" customHeight="1" x14ac:dyDescent="0.2">
      <c r="A244" s="199"/>
      <c r="B244" s="123"/>
      <c r="C244" s="123"/>
      <c r="D244" s="123"/>
      <c r="E244" s="123"/>
      <c r="F244" s="123"/>
      <c r="G244" s="123"/>
      <c r="H244" s="123"/>
      <c r="I244" s="123"/>
      <c r="J244" s="123"/>
      <c r="K244" s="123"/>
      <c r="L244" s="123"/>
      <c r="M244" s="123"/>
      <c r="N244" s="123"/>
      <c r="O244" s="123"/>
      <c r="P244" s="148">
        <v>1.3261470389737682</v>
      </c>
      <c r="Q244" s="148">
        <v>2.5152976901423916</v>
      </c>
      <c r="R244" s="148">
        <v>3.5350844865360269</v>
      </c>
      <c r="S244" s="123"/>
      <c r="T244" s="123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</row>
    <row r="245" spans="1:82" ht="20" customHeight="1" x14ac:dyDescent="0.2">
      <c r="A245" s="199"/>
      <c r="B245" s="123"/>
      <c r="C245" s="123"/>
      <c r="D245" s="123"/>
      <c r="E245" s="123"/>
      <c r="F245" s="123"/>
      <c r="G245" s="123"/>
      <c r="H245" s="123"/>
      <c r="I245" s="123"/>
      <c r="J245" s="123"/>
      <c r="K245" s="123"/>
      <c r="L245" s="123"/>
      <c r="M245" s="123"/>
      <c r="N245" s="123"/>
      <c r="O245" s="123"/>
      <c r="P245" s="145" t="s">
        <v>123</v>
      </c>
      <c r="Q245" s="123"/>
      <c r="R245" s="123"/>
      <c r="S245" s="123"/>
      <c r="T245" s="123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</row>
    <row r="246" spans="1:82" ht="20" customHeight="1" x14ac:dyDescent="0.2">
      <c r="A246" s="199"/>
      <c r="B246" s="123"/>
      <c r="C246" s="123"/>
      <c r="D246" s="123"/>
      <c r="E246" s="123"/>
      <c r="F246" s="123"/>
      <c r="G246" s="123"/>
      <c r="H246" s="123"/>
      <c r="I246" s="123"/>
      <c r="J246" s="123"/>
      <c r="K246" s="123"/>
      <c r="L246" s="123"/>
      <c r="M246" s="123"/>
      <c r="N246" s="123"/>
      <c r="O246" s="123"/>
      <c r="P246" s="157" cm="1">
        <f t="array" ref="P246:R246">_xlfn.BYCOL(Blueprint_inference!P235:R244, _xlfn.LAMBDA(_xlpm.col, SUM(_xlpm.col)))</f>
        <v>11.302675696749652</v>
      </c>
      <c r="Q246" s="157">
        <v>12.829322437081789</v>
      </c>
      <c r="R246" s="157">
        <v>14.109210913286439</v>
      </c>
      <c r="S246" s="123"/>
      <c r="T246" s="123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</row>
    <row r="247" spans="1:82" ht="20" customHeight="1" x14ac:dyDescent="0.2">
      <c r="A247" s="199"/>
      <c r="B247" s="123"/>
      <c r="C247" s="123"/>
      <c r="D247" s="123"/>
      <c r="E247" s="123"/>
      <c r="F247" s="123"/>
      <c r="G247" s="123"/>
      <c r="H247" s="123"/>
      <c r="I247" s="123"/>
      <c r="J247" s="123"/>
      <c r="K247" s="123"/>
      <c r="L247" s="123"/>
      <c r="M247" s="123"/>
      <c r="N247" s="123"/>
      <c r="O247" s="123"/>
      <c r="P247" s="145" t="s">
        <v>197</v>
      </c>
      <c r="Q247" s="123"/>
      <c r="R247" s="123"/>
      <c r="S247" s="123"/>
      <c r="T247" s="123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</row>
    <row r="248" spans="1:82" ht="20" customHeight="1" x14ac:dyDescent="0.2">
      <c r="A248" s="199"/>
      <c r="B248" s="123"/>
      <c r="C248" s="123"/>
      <c r="D248" s="123"/>
      <c r="E248" s="123"/>
      <c r="F248" s="123"/>
      <c r="G248" s="123"/>
      <c r="H248" s="123"/>
      <c r="I248" s="123"/>
      <c r="J248" s="123"/>
      <c r="K248" s="123"/>
      <c r="L248" s="123"/>
      <c r="M248" s="123"/>
      <c r="N248" s="123"/>
      <c r="O248" s="123"/>
      <c r="P248" s="146" cm="1">
        <f t="array" ref="P248:R257">Blueprint_inference!P235:R244/Blueprint_inference!P246:R246</f>
        <v>7.5354521220142842E-2</v>
      </c>
      <c r="Q248" s="146">
        <v>6.6168263806247685E-2</v>
      </c>
      <c r="R248" s="146">
        <v>6.2216757234871627E-2</v>
      </c>
      <c r="S248" s="123"/>
      <c r="T248" s="123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</row>
    <row r="249" spans="1:82" ht="20" customHeight="1" x14ac:dyDescent="0.2">
      <c r="A249" s="199"/>
      <c r="B249" s="123"/>
      <c r="C249" s="123"/>
      <c r="D249" s="123"/>
      <c r="E249" s="123"/>
      <c r="F249" s="123"/>
      <c r="G249" s="123"/>
      <c r="H249" s="123"/>
      <c r="I249" s="123"/>
      <c r="J249" s="123"/>
      <c r="K249" s="123"/>
      <c r="L249" s="123"/>
      <c r="M249" s="123"/>
      <c r="N249" s="123"/>
      <c r="O249" s="123"/>
      <c r="P249" s="147">
        <v>0.13475679809557481</v>
      </c>
      <c r="Q249" s="147">
        <v>0.13131081135725625</v>
      </c>
      <c r="R249" s="147">
        <v>0.12126590767760738</v>
      </c>
      <c r="S249" s="123"/>
      <c r="T249" s="123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</row>
    <row r="250" spans="1:82" ht="20" customHeight="1" x14ac:dyDescent="0.2">
      <c r="A250" s="199"/>
      <c r="B250" s="123"/>
      <c r="C250" s="123"/>
      <c r="D250" s="123"/>
      <c r="E250" s="123"/>
      <c r="F250" s="123"/>
      <c r="G250" s="123"/>
      <c r="H250" s="123"/>
      <c r="I250" s="123"/>
      <c r="J250" s="123"/>
      <c r="K250" s="123"/>
      <c r="L250" s="123"/>
      <c r="M250" s="123"/>
      <c r="N250" s="123"/>
      <c r="O250" s="123"/>
      <c r="P250" s="147">
        <v>7.4698734487100946E-2</v>
      </c>
      <c r="Q250" s="147">
        <v>7.2890858947680756E-2</v>
      </c>
      <c r="R250" s="147">
        <v>7.8561974444059296E-2</v>
      </c>
      <c r="S250" s="123"/>
      <c r="T250" s="123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</row>
    <row r="251" spans="1:82" ht="20" customHeight="1" x14ac:dyDescent="0.2">
      <c r="A251" s="199"/>
      <c r="B251" s="123"/>
      <c r="C251" s="123"/>
      <c r="D251" s="123"/>
      <c r="E251" s="123"/>
      <c r="F251" s="123"/>
      <c r="G251" s="123"/>
      <c r="H251" s="123"/>
      <c r="I251" s="123"/>
      <c r="J251" s="123"/>
      <c r="K251" s="123"/>
      <c r="L251" s="123"/>
      <c r="M251" s="123"/>
      <c r="N251" s="123"/>
      <c r="O251" s="123"/>
      <c r="P251" s="147">
        <v>0.10589839065660261</v>
      </c>
      <c r="Q251" s="147">
        <v>7.276701344047766E-2</v>
      </c>
      <c r="R251" s="147">
        <v>6.4843758923643219E-2</v>
      </c>
      <c r="S251" s="123"/>
      <c r="T251" s="123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</row>
    <row r="252" spans="1:82" ht="20" customHeight="1" x14ac:dyDescent="0.2">
      <c r="A252" s="199"/>
      <c r="B252" s="123"/>
      <c r="C252" s="123"/>
      <c r="D252" s="123"/>
      <c r="E252" s="123"/>
      <c r="F252" s="123"/>
      <c r="G252" s="123"/>
      <c r="H252" s="123"/>
      <c r="I252" s="123"/>
      <c r="J252" s="123"/>
      <c r="K252" s="123"/>
      <c r="L252" s="123"/>
      <c r="M252" s="123"/>
      <c r="N252" s="123"/>
      <c r="O252" s="123"/>
      <c r="P252" s="147">
        <v>7.5955843444930268E-2</v>
      </c>
      <c r="Q252" s="147">
        <v>6.9694832327308276E-2</v>
      </c>
      <c r="R252" s="147">
        <v>6.4051546873067619E-2</v>
      </c>
      <c r="S252" s="123"/>
      <c r="T252" s="123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</row>
    <row r="253" spans="1:82" ht="20" customHeight="1" x14ac:dyDescent="0.2">
      <c r="A253" s="199"/>
      <c r="B253" s="123"/>
      <c r="C253" s="123"/>
      <c r="D253" s="123"/>
      <c r="E253" s="123"/>
      <c r="F253" s="123"/>
      <c r="G253" s="123"/>
      <c r="H253" s="123"/>
      <c r="I253" s="123"/>
      <c r="J253" s="123"/>
      <c r="K253" s="123"/>
      <c r="L253" s="123"/>
      <c r="M253" s="123"/>
      <c r="N253" s="123"/>
      <c r="O253" s="123"/>
      <c r="P253" s="147">
        <v>7.8495199304133442E-2</v>
      </c>
      <c r="Q253" s="147">
        <v>6.6251536618417803E-2</v>
      </c>
      <c r="R253" s="147">
        <v>5.9853468375976181E-2</v>
      </c>
      <c r="S253" s="123"/>
      <c r="T253" s="12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</row>
    <row r="254" spans="1:82" ht="20" customHeight="1" x14ac:dyDescent="0.2">
      <c r="A254" s="199"/>
      <c r="B254" s="123"/>
      <c r="C254" s="123"/>
      <c r="D254" s="123"/>
      <c r="E254" s="123"/>
      <c r="F254" s="123"/>
      <c r="G254" s="123"/>
      <c r="H254" s="123"/>
      <c r="I254" s="123"/>
      <c r="J254" s="123"/>
      <c r="K254" s="123"/>
      <c r="L254" s="123"/>
      <c r="M254" s="123"/>
      <c r="N254" s="123"/>
      <c r="O254" s="123"/>
      <c r="P254" s="147">
        <v>7.5227596005776345E-2</v>
      </c>
      <c r="Q254" s="147">
        <v>6.5906398506944006E-2</v>
      </c>
      <c r="R254" s="147">
        <v>6.149052266768764E-2</v>
      </c>
      <c r="S254" s="123"/>
      <c r="T254" s="123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</row>
    <row r="255" spans="1:82" ht="20" customHeight="1" x14ac:dyDescent="0.2">
      <c r="A255" s="199"/>
      <c r="B255" s="123"/>
      <c r="C255" s="123"/>
      <c r="D255" s="123"/>
      <c r="E255" s="123"/>
      <c r="F255" s="123"/>
      <c r="G255" s="123"/>
      <c r="H255" s="123"/>
      <c r="I255" s="123"/>
      <c r="J255" s="123"/>
      <c r="K255" s="123"/>
      <c r="L255" s="123"/>
      <c r="M255" s="123"/>
      <c r="N255" s="123"/>
      <c r="O255" s="123"/>
      <c r="P255" s="147">
        <v>8.7862651503693379E-2</v>
      </c>
      <c r="Q255" s="147">
        <v>6.6509629918977756E-2</v>
      </c>
      <c r="R255" s="147">
        <v>5.9820357576364898E-2</v>
      </c>
      <c r="S255" s="123"/>
      <c r="T255" s="123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</row>
    <row r="256" spans="1:82" ht="20" customHeight="1" x14ac:dyDescent="0.2">
      <c r="A256" s="199"/>
      <c r="B256" s="123"/>
      <c r="C256" s="123"/>
      <c r="D256" s="123"/>
      <c r="E256" s="123"/>
      <c r="F256" s="123"/>
      <c r="G256" s="123"/>
      <c r="H256" s="123"/>
      <c r="I256" s="123"/>
      <c r="J256" s="123"/>
      <c r="K256" s="123"/>
      <c r="L256" s="123"/>
      <c r="M256" s="123"/>
      <c r="N256" s="123"/>
      <c r="O256" s="123"/>
      <c r="P256" s="147">
        <v>0.17441990258260648</v>
      </c>
      <c r="Q256" s="147">
        <v>0.19244215686074412</v>
      </c>
      <c r="R256" s="147">
        <v>0.17734416877631165</v>
      </c>
      <c r="S256" s="123"/>
      <c r="T256" s="123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</row>
    <row r="257" spans="1:82" ht="20" customHeight="1" x14ac:dyDescent="0.2">
      <c r="A257" s="199"/>
      <c r="B257" s="123"/>
      <c r="C257" s="123"/>
      <c r="D257" s="123"/>
      <c r="E257" s="123"/>
      <c r="F257" s="123"/>
      <c r="G257" s="123"/>
      <c r="H257" s="123"/>
      <c r="I257" s="123"/>
      <c r="J257" s="123"/>
      <c r="K257" s="123"/>
      <c r="L257" s="123"/>
      <c r="M257" s="123"/>
      <c r="N257" s="123"/>
      <c r="O257" s="123"/>
      <c r="P257" s="148">
        <v>0.11733036269943874</v>
      </c>
      <c r="Q257" s="148">
        <v>0.19605849821594568</v>
      </c>
      <c r="R257" s="148">
        <v>0.25055153745041042</v>
      </c>
      <c r="S257" s="123"/>
      <c r="T257" s="149" t="str">
        <f>HYPERLINK("#Blueprint!torchcode", "&lt;/&gt;")</f>
        <v>&lt;/&gt;</v>
      </c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</row>
    <row r="258" spans="1:82" ht="20" customHeight="1" x14ac:dyDescent="0.2">
      <c r="A258" s="199"/>
      <c r="B258" s="123"/>
      <c r="C258" s="123"/>
      <c r="D258" s="123"/>
      <c r="E258" s="123"/>
      <c r="F258" s="123"/>
      <c r="G258" s="123"/>
      <c r="H258" s="123"/>
      <c r="I258" s="123"/>
      <c r="J258" s="123"/>
      <c r="K258" s="123"/>
      <c r="L258" s="123"/>
      <c r="M258" s="123"/>
      <c r="N258" s="123"/>
      <c r="O258" s="123"/>
      <c r="P258" s="123"/>
      <c r="Q258" s="123"/>
      <c r="R258" s="123"/>
      <c r="S258" s="123"/>
      <c r="T258" s="150" t="str">
        <f>HYPERLINK("#X", "▲")</f>
        <v>▲</v>
      </c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</row>
    <row r="259" spans="1:82" ht="20" customHeight="1" x14ac:dyDescent="0.2">
      <c r="P259" s="143" t="s">
        <v>117</v>
      </c>
      <c r="Q259" s="143" t="s">
        <v>117</v>
      </c>
      <c r="R259" s="143" t="s">
        <v>117</v>
      </c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</row>
    <row r="260" spans="1:82" ht="20" customHeight="1" x14ac:dyDescent="0.2">
      <c r="A260" s="198" t="s">
        <v>203</v>
      </c>
      <c r="B260" s="130"/>
      <c r="C260" s="130"/>
      <c r="D260" s="130"/>
      <c r="E260" s="130"/>
      <c r="F260" s="130"/>
      <c r="G260" s="130"/>
      <c r="H260" s="130"/>
      <c r="I260" s="130"/>
      <c r="J260" s="130"/>
      <c r="K260" s="130"/>
      <c r="L260" s="130"/>
      <c r="M260" s="130"/>
      <c r="N260" s="130"/>
      <c r="O260" s="130"/>
      <c r="P260" s="131" t="s">
        <v>199</v>
      </c>
      <c r="Q260" s="130"/>
      <c r="R260" s="130"/>
      <c r="S260" s="130"/>
      <c r="T260" s="13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</row>
    <row r="261" spans="1:82" ht="20" customHeight="1" x14ac:dyDescent="0.2">
      <c r="A261" s="198"/>
      <c r="B261" s="130"/>
      <c r="C261" s="130"/>
      <c r="D261" s="130"/>
      <c r="E261" s="130"/>
      <c r="F261" s="130"/>
      <c r="G261" s="130"/>
      <c r="H261" s="130"/>
      <c r="I261" s="130"/>
      <c r="J261" s="130"/>
      <c r="K261" s="130"/>
      <c r="L261" s="130"/>
      <c r="M261" s="130"/>
      <c r="N261" s="130"/>
      <c r="O261" s="130"/>
      <c r="P261" s="133" t="s">
        <v>200</v>
      </c>
      <c r="Q261" s="130"/>
      <c r="R261" s="130"/>
      <c r="S261" s="130"/>
      <c r="T261" s="130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</row>
    <row r="262" spans="1:82" ht="20" customHeight="1" x14ac:dyDescent="0.2">
      <c r="A262" s="198"/>
      <c r="B262" s="130"/>
      <c r="C262" s="130"/>
      <c r="D262" s="130"/>
      <c r="E262" s="130"/>
      <c r="F262" s="130"/>
      <c r="G262" s="130"/>
      <c r="H262" s="130"/>
      <c r="I262" s="130"/>
      <c r="J262" s="130"/>
      <c r="K262" s="130"/>
      <c r="L262" s="130"/>
      <c r="M262" s="130"/>
      <c r="N262" s="130"/>
      <c r="O262" s="130"/>
      <c r="P262" s="138" cm="1">
        <f t="array" ref="P262:R271">LN(Blueprint_inference!P248:R257+0.000000001)</f>
        <v>-2.5855513395175285</v>
      </c>
      <c r="Q262" s="138">
        <v>-2.7155543145716483</v>
      </c>
      <c r="R262" s="138">
        <v>-2.7771308905274639</v>
      </c>
      <c r="S262" s="130"/>
      <c r="T262" s="130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</row>
    <row r="263" spans="1:82" ht="20" customHeight="1" x14ac:dyDescent="0.2">
      <c r="A263" s="198"/>
      <c r="B263" s="130"/>
      <c r="C263" s="130"/>
      <c r="D263" s="130"/>
      <c r="E263" s="130"/>
      <c r="F263" s="130"/>
      <c r="G263" s="130"/>
      <c r="H263" s="130"/>
      <c r="I263" s="130"/>
      <c r="J263" s="130"/>
      <c r="K263" s="130"/>
      <c r="L263" s="130"/>
      <c r="M263" s="130"/>
      <c r="N263" s="130"/>
      <c r="O263" s="130"/>
      <c r="P263" s="139">
        <v>-2.0042836133559305</v>
      </c>
      <c r="Q263" s="139">
        <v>-2.0301881525698828</v>
      </c>
      <c r="R263" s="139">
        <v>-2.1097695521827302</v>
      </c>
      <c r="S263" s="130"/>
      <c r="T263" s="130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</row>
    <row r="264" spans="1:82" ht="20" customHeight="1" x14ac:dyDescent="0.2">
      <c r="A264" s="198"/>
      <c r="B264" s="130"/>
      <c r="C264" s="130"/>
      <c r="D264" s="130"/>
      <c r="E264" s="130"/>
      <c r="F264" s="130"/>
      <c r="G264" s="130"/>
      <c r="H264" s="130"/>
      <c r="I264" s="130"/>
      <c r="J264" s="130"/>
      <c r="K264" s="130"/>
      <c r="L264" s="130"/>
      <c r="M264" s="130"/>
      <c r="N264" s="130"/>
      <c r="O264" s="130"/>
      <c r="P264" s="139">
        <v>-2.5942921148701652</v>
      </c>
      <c r="Q264" s="139">
        <v>-2.6187920257747623</v>
      </c>
      <c r="R264" s="139">
        <v>-2.5438674695792214</v>
      </c>
      <c r="S264" s="130"/>
      <c r="T264" s="130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</row>
    <row r="265" spans="1:82" ht="20" customHeight="1" x14ac:dyDescent="0.2">
      <c r="A265" s="198"/>
      <c r="B265" s="130"/>
      <c r="C265" s="130"/>
      <c r="D265" s="130"/>
      <c r="E265" s="130"/>
      <c r="F265" s="130"/>
      <c r="G265" s="130"/>
      <c r="H265" s="130"/>
      <c r="I265" s="130"/>
      <c r="J265" s="130"/>
      <c r="K265" s="130"/>
      <c r="L265" s="130"/>
      <c r="M265" s="130"/>
      <c r="N265" s="130"/>
      <c r="O265" s="130"/>
      <c r="P265" s="139">
        <v>-2.24527521386874</v>
      </c>
      <c r="Q265" s="139">
        <v>-2.6204925248046562</v>
      </c>
      <c r="R265" s="139">
        <v>-2.7357745960777597</v>
      </c>
      <c r="S265" s="130"/>
      <c r="T265" s="130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</row>
    <row r="266" spans="1:82" ht="20" customHeight="1" x14ac:dyDescent="0.2">
      <c r="A266" s="198"/>
      <c r="B266" s="130"/>
      <c r="C266" s="130"/>
      <c r="D266" s="130"/>
      <c r="E266" s="130"/>
      <c r="F266" s="130"/>
      <c r="G266" s="130"/>
      <c r="H266" s="130"/>
      <c r="I266" s="130"/>
      <c r="J266" s="130"/>
      <c r="K266" s="130"/>
      <c r="L266" s="130"/>
      <c r="M266" s="130"/>
      <c r="N266" s="130"/>
      <c r="O266" s="130"/>
      <c r="P266" s="139">
        <v>-2.5776031016839598</v>
      </c>
      <c r="Q266" s="139">
        <v>-2.6636290912615257</v>
      </c>
      <c r="R266" s="139">
        <v>-2.7480670842949055</v>
      </c>
      <c r="S266" s="130"/>
      <c r="T266" s="130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</row>
    <row r="267" spans="1:82" ht="20" customHeight="1" x14ac:dyDescent="0.2">
      <c r="A267" s="198"/>
      <c r="B267" s="130"/>
      <c r="C267" s="130"/>
      <c r="D267" s="130"/>
      <c r="E267" s="130"/>
      <c r="F267" s="130"/>
      <c r="G267" s="130"/>
      <c r="H267" s="130"/>
      <c r="I267" s="130"/>
      <c r="J267" s="130"/>
      <c r="K267" s="130"/>
      <c r="L267" s="130"/>
      <c r="M267" s="130"/>
      <c r="N267" s="130"/>
      <c r="O267" s="130"/>
      <c r="P267" s="139">
        <v>-2.5447177986855647</v>
      </c>
      <c r="Q267" s="139">
        <v>-2.7142966050505297</v>
      </c>
      <c r="R267" s="139">
        <v>-2.8158558808056582</v>
      </c>
      <c r="S267" s="130"/>
      <c r="T267" s="130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</row>
    <row r="268" spans="1:82" ht="20" customHeight="1" x14ac:dyDescent="0.2">
      <c r="A268" s="198"/>
      <c r="B268" s="130"/>
      <c r="C268" s="130"/>
      <c r="D268" s="130"/>
      <c r="E268" s="130"/>
      <c r="F268" s="130"/>
      <c r="G268" s="130"/>
      <c r="H268" s="130"/>
      <c r="I268" s="130"/>
      <c r="J268" s="130"/>
      <c r="K268" s="130"/>
      <c r="L268" s="130"/>
      <c r="M268" s="130"/>
      <c r="N268" s="130"/>
      <c r="O268" s="130"/>
      <c r="P268" s="139">
        <v>-2.5872371338877769</v>
      </c>
      <c r="Q268" s="139">
        <v>-2.7195197328266634</v>
      </c>
      <c r="R268" s="139">
        <v>-2.7888722027465067</v>
      </c>
      <c r="S268" s="130"/>
      <c r="T268" s="130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</row>
    <row r="269" spans="1:82" ht="20" customHeight="1" x14ac:dyDescent="0.2">
      <c r="A269" s="198"/>
      <c r="B269" s="130"/>
      <c r="C269" s="130"/>
      <c r="D269" s="130"/>
      <c r="E269" s="130"/>
      <c r="F269" s="130"/>
      <c r="G269" s="130"/>
      <c r="H269" s="130"/>
      <c r="I269" s="130"/>
      <c r="J269" s="130"/>
      <c r="K269" s="130"/>
      <c r="L269" s="130"/>
      <c r="M269" s="130"/>
      <c r="N269" s="130"/>
      <c r="O269" s="130"/>
      <c r="P269" s="139">
        <v>-2.4319804507730596</v>
      </c>
      <c r="Q269" s="139">
        <v>-2.7104085159572899</v>
      </c>
      <c r="R269" s="139">
        <v>-2.8164092315427856</v>
      </c>
      <c r="S269" s="130"/>
      <c r="T269" s="130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</row>
    <row r="270" spans="1:82" ht="20" customHeight="1" x14ac:dyDescent="0.2">
      <c r="A270" s="198"/>
      <c r="B270" s="130"/>
      <c r="C270" s="130"/>
      <c r="D270" s="130"/>
      <c r="E270" s="130"/>
      <c r="F270" s="130"/>
      <c r="G270" s="130"/>
      <c r="H270" s="130"/>
      <c r="I270" s="130"/>
      <c r="J270" s="130"/>
      <c r="K270" s="130"/>
      <c r="L270" s="130"/>
      <c r="M270" s="130"/>
      <c r="N270" s="130"/>
      <c r="O270" s="130"/>
      <c r="P270" s="139">
        <v>-1.7462896479720842</v>
      </c>
      <c r="Q270" s="139">
        <v>-1.6479596490525366</v>
      </c>
      <c r="R270" s="139">
        <v>-1.7296629724144497</v>
      </c>
      <c r="S270" s="130"/>
      <c r="T270" s="13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</row>
    <row r="271" spans="1:82" ht="20" customHeight="1" x14ac:dyDescent="0.2">
      <c r="A271" s="198"/>
      <c r="B271" s="130"/>
      <c r="C271" s="130"/>
      <c r="D271" s="130"/>
      <c r="E271" s="130"/>
      <c r="F271" s="130"/>
      <c r="G271" s="130"/>
      <c r="H271" s="130"/>
      <c r="I271" s="130"/>
      <c r="J271" s="130"/>
      <c r="K271" s="130"/>
      <c r="L271" s="130"/>
      <c r="M271" s="130"/>
      <c r="N271" s="130"/>
      <c r="O271" s="130"/>
      <c r="P271" s="140">
        <v>-2.1427617017522209</v>
      </c>
      <c r="Q271" s="140">
        <v>-1.629342198896075</v>
      </c>
      <c r="R271" s="140">
        <v>-1.3840906373022577</v>
      </c>
      <c r="S271" s="130"/>
      <c r="T271" s="130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</row>
    <row r="272" spans="1:82" ht="20" customHeight="1" x14ac:dyDescent="0.2">
      <c r="A272" s="198"/>
      <c r="B272" s="130"/>
      <c r="C272" s="130"/>
      <c r="D272" s="130"/>
      <c r="E272" s="130"/>
      <c r="F272" s="130"/>
      <c r="G272" s="130"/>
      <c r="H272" s="130"/>
      <c r="I272" s="130"/>
      <c r="J272" s="130"/>
      <c r="K272" s="130"/>
      <c r="L272" s="130"/>
      <c r="M272" s="130"/>
      <c r="N272" s="130"/>
      <c r="O272" s="130"/>
      <c r="P272" s="133" t="s">
        <v>124</v>
      </c>
      <c r="Q272" s="130"/>
      <c r="R272" s="130"/>
      <c r="S272" s="130"/>
      <c r="T272" s="130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</row>
    <row r="273" spans="1:82" ht="20" customHeight="1" x14ac:dyDescent="0.2">
      <c r="A273" s="198"/>
      <c r="B273" s="130"/>
      <c r="C273" s="130"/>
      <c r="D273" s="130"/>
      <c r="E273" s="130"/>
      <c r="F273" s="130"/>
      <c r="G273" s="130"/>
      <c r="H273" s="130"/>
      <c r="I273" s="130"/>
      <c r="J273" s="130"/>
      <c r="K273" s="130"/>
      <c r="L273" s="130"/>
      <c r="M273" s="130"/>
      <c r="N273" s="130"/>
      <c r="O273" s="130"/>
      <c r="P273" s="138" cm="1">
        <f t="array" ref="P273:R282">Blueprint_inference!P16:R25*Blueprint_inference!P262:R271</f>
        <v>0</v>
      </c>
      <c r="Q273" s="138">
        <v>0</v>
      </c>
      <c r="R273" s="138">
        <v>0</v>
      </c>
      <c r="S273" s="130"/>
      <c r="T273" s="130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</row>
    <row r="274" spans="1:82" ht="20" customHeight="1" x14ac:dyDescent="0.2">
      <c r="A274" s="198"/>
      <c r="B274" s="130"/>
      <c r="C274" s="130"/>
      <c r="D274" s="130"/>
      <c r="E274" s="130"/>
      <c r="F274" s="130"/>
      <c r="G274" s="130"/>
      <c r="H274" s="130"/>
      <c r="I274" s="130"/>
      <c r="J274" s="130"/>
      <c r="K274" s="130"/>
      <c r="L274" s="130"/>
      <c r="M274" s="130"/>
      <c r="N274" s="130"/>
      <c r="O274" s="130"/>
      <c r="P274" s="139">
        <v>0</v>
      </c>
      <c r="Q274" s="139">
        <v>0</v>
      </c>
      <c r="R274" s="139">
        <v>0</v>
      </c>
      <c r="S274" s="130"/>
      <c r="T274" s="130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</row>
    <row r="275" spans="1:82" ht="20" customHeight="1" x14ac:dyDescent="0.2">
      <c r="A275" s="198"/>
      <c r="B275" s="130"/>
      <c r="C275" s="130"/>
      <c r="D275" s="130"/>
      <c r="E275" s="130"/>
      <c r="F275" s="130"/>
      <c r="G275" s="130"/>
      <c r="H275" s="130"/>
      <c r="I275" s="130"/>
      <c r="J275" s="130"/>
      <c r="K275" s="130"/>
      <c r="L275" s="130"/>
      <c r="M275" s="130"/>
      <c r="N275" s="130"/>
      <c r="O275" s="130"/>
      <c r="P275" s="139">
        <v>0</v>
      </c>
      <c r="Q275" s="139">
        <v>0</v>
      </c>
      <c r="R275" s="139">
        <v>0</v>
      </c>
      <c r="S275" s="130"/>
      <c r="T275" s="130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</row>
    <row r="276" spans="1:82" ht="20" customHeight="1" x14ac:dyDescent="0.2">
      <c r="A276" s="198"/>
      <c r="B276" s="130"/>
      <c r="C276" s="130"/>
      <c r="D276" s="130"/>
      <c r="E276" s="130"/>
      <c r="F276" s="130"/>
      <c r="G276" s="130"/>
      <c r="H276" s="130"/>
      <c r="I276" s="130"/>
      <c r="J276" s="130"/>
      <c r="K276" s="130"/>
      <c r="L276" s="130"/>
      <c r="M276" s="130"/>
      <c r="N276" s="130"/>
      <c r="O276" s="130"/>
      <c r="P276" s="139">
        <v>0</v>
      </c>
      <c r="Q276" s="139">
        <v>0</v>
      </c>
      <c r="R276" s="139">
        <v>0</v>
      </c>
      <c r="S276" s="130"/>
      <c r="T276" s="130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</row>
    <row r="277" spans="1:82" ht="20" customHeight="1" x14ac:dyDescent="0.2">
      <c r="A277" s="198"/>
      <c r="B277" s="130"/>
      <c r="C277" s="130"/>
      <c r="D277" s="130"/>
      <c r="E277" s="130"/>
      <c r="F277" s="130"/>
      <c r="G277" s="130"/>
      <c r="H277" s="130"/>
      <c r="I277" s="130"/>
      <c r="J277" s="130"/>
      <c r="K277" s="130"/>
      <c r="L277" s="130"/>
      <c r="M277" s="130"/>
      <c r="N277" s="130"/>
      <c r="O277" s="130"/>
      <c r="P277" s="139">
        <v>0</v>
      </c>
      <c r="Q277" s="139">
        <v>0</v>
      </c>
      <c r="R277" s="139">
        <v>0</v>
      </c>
      <c r="S277" s="130"/>
      <c r="T277" s="130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</row>
    <row r="278" spans="1:82" ht="20" customHeight="1" x14ac:dyDescent="0.2">
      <c r="A278" s="198"/>
      <c r="B278" s="130"/>
      <c r="C278" s="130"/>
      <c r="D278" s="130"/>
      <c r="E278" s="130"/>
      <c r="F278" s="130"/>
      <c r="G278" s="130"/>
      <c r="H278" s="130"/>
      <c r="I278" s="130"/>
      <c r="J278" s="130"/>
      <c r="K278" s="130"/>
      <c r="L278" s="130"/>
      <c r="M278" s="130"/>
      <c r="N278" s="130"/>
      <c r="O278" s="130"/>
      <c r="P278" s="139">
        <v>-2.5447177986855647</v>
      </c>
      <c r="Q278" s="139">
        <v>0</v>
      </c>
      <c r="R278" s="139">
        <v>0</v>
      </c>
      <c r="S278" s="130"/>
      <c r="T278" s="130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</row>
    <row r="279" spans="1:82" ht="20" customHeight="1" x14ac:dyDescent="0.2">
      <c r="A279" s="198"/>
      <c r="B279" s="130"/>
      <c r="C279" s="130"/>
      <c r="D279" s="130"/>
      <c r="E279" s="130"/>
      <c r="F279" s="130"/>
      <c r="G279" s="130"/>
      <c r="H279" s="130"/>
      <c r="I279" s="130"/>
      <c r="J279" s="130"/>
      <c r="K279" s="130"/>
      <c r="L279" s="130"/>
      <c r="M279" s="130"/>
      <c r="N279" s="130"/>
      <c r="O279" s="130"/>
      <c r="P279" s="139">
        <v>0</v>
      </c>
      <c r="Q279" s="139">
        <v>0</v>
      </c>
      <c r="R279" s="139">
        <v>0</v>
      </c>
      <c r="S279" s="130"/>
      <c r="T279" s="130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</row>
    <row r="280" spans="1:82" ht="20" customHeight="1" x14ac:dyDescent="0.2">
      <c r="A280" s="198"/>
      <c r="B280" s="130"/>
      <c r="C280" s="130"/>
      <c r="D280" s="130"/>
      <c r="E280" s="130"/>
      <c r="F280" s="130"/>
      <c r="G280" s="130"/>
      <c r="H280" s="130"/>
      <c r="I280" s="130"/>
      <c r="J280" s="130"/>
      <c r="K280" s="130"/>
      <c r="L280" s="130"/>
      <c r="M280" s="130"/>
      <c r="N280" s="130"/>
      <c r="O280" s="130"/>
      <c r="P280" s="139">
        <v>0</v>
      </c>
      <c r="Q280" s="139">
        <v>0</v>
      </c>
      <c r="R280" s="139">
        <v>0</v>
      </c>
      <c r="S280" s="130"/>
      <c r="T280" s="13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</row>
    <row r="281" spans="1:82" ht="20" customHeight="1" x14ac:dyDescent="0.2">
      <c r="A281" s="198"/>
      <c r="B281" s="130"/>
      <c r="C281" s="130"/>
      <c r="D281" s="130"/>
      <c r="E281" s="130"/>
      <c r="F281" s="130"/>
      <c r="G281" s="130"/>
      <c r="H281" s="130"/>
      <c r="I281" s="130"/>
      <c r="J281" s="130"/>
      <c r="K281" s="130"/>
      <c r="L281" s="130"/>
      <c r="M281" s="130"/>
      <c r="N281" s="130"/>
      <c r="O281" s="130"/>
      <c r="P281" s="139">
        <v>0</v>
      </c>
      <c r="Q281" s="139">
        <v>-1.6479596490525366</v>
      </c>
      <c r="R281" s="139">
        <v>-1.7296629724144497</v>
      </c>
      <c r="S281" s="130"/>
      <c r="T281" s="130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</row>
    <row r="282" spans="1:82" ht="20" customHeight="1" x14ac:dyDescent="0.2">
      <c r="A282" s="198"/>
      <c r="B282" s="130"/>
      <c r="C282" s="130"/>
      <c r="D282" s="130"/>
      <c r="E282" s="130"/>
      <c r="F282" s="130"/>
      <c r="G282" s="130"/>
      <c r="H282" s="130"/>
      <c r="I282" s="130"/>
      <c r="J282" s="130"/>
      <c r="K282" s="130"/>
      <c r="L282" s="130"/>
      <c r="M282" s="130"/>
      <c r="N282" s="130"/>
      <c r="O282" s="130"/>
      <c r="P282" s="140">
        <v>0</v>
      </c>
      <c r="Q282" s="140">
        <v>0</v>
      </c>
      <c r="R282" s="140">
        <v>0</v>
      </c>
      <c r="S282" s="130"/>
      <c r="T282" s="130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</row>
    <row r="283" spans="1:82" ht="20" customHeight="1" x14ac:dyDescent="0.2">
      <c r="A283" s="198"/>
      <c r="B283" s="130"/>
      <c r="C283" s="130"/>
      <c r="D283" s="130"/>
      <c r="E283" s="130"/>
      <c r="F283" s="130"/>
      <c r="G283" s="130"/>
      <c r="H283" s="130"/>
      <c r="I283" s="130"/>
      <c r="J283" s="130"/>
      <c r="K283" s="130"/>
      <c r="L283" s="130"/>
      <c r="M283" s="130"/>
      <c r="N283" s="130"/>
      <c r="O283" s="130"/>
      <c r="P283" s="133" t="s">
        <v>201</v>
      </c>
      <c r="Q283" s="130"/>
      <c r="R283" s="130"/>
      <c r="S283" s="130"/>
      <c r="T283" s="130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</row>
    <row r="284" spans="1:82" ht="20" customHeight="1" x14ac:dyDescent="0.2">
      <c r="A284" s="198"/>
      <c r="B284" s="130"/>
      <c r="C284" s="130"/>
      <c r="D284" s="130"/>
      <c r="E284" s="130"/>
      <c r="F284" s="130"/>
      <c r="G284" s="130"/>
      <c r="H284" s="130"/>
      <c r="I284" s="130"/>
      <c r="J284" s="130"/>
      <c r="K284" s="130"/>
      <c r="L284" s="130"/>
      <c r="M284" s="130"/>
      <c r="N284" s="130"/>
      <c r="O284" s="130"/>
      <c r="P284" s="151" cm="1">
        <f t="array" ref="P284:R284">-_xlfn.BYCOL(Blueprint_inference!P273:R282, _xlfn.LAMBDA(_xlpm.col, SUM(_xlpm.col)))</f>
        <v>2.5447177986855647</v>
      </c>
      <c r="Q284" s="151">
        <v>1.6479596490525366</v>
      </c>
      <c r="R284" s="151">
        <v>1.7296629724144497</v>
      </c>
      <c r="S284" s="130"/>
      <c r="T284" s="130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</row>
    <row r="285" spans="1:82" ht="20" customHeight="1" x14ac:dyDescent="0.2">
      <c r="A285" s="198"/>
      <c r="B285" s="130"/>
      <c r="C285" s="130"/>
      <c r="D285" s="130"/>
      <c r="E285" s="130"/>
      <c r="F285" s="130"/>
      <c r="G285" s="130"/>
      <c r="H285" s="130"/>
      <c r="I285" s="130"/>
      <c r="J285" s="130"/>
      <c r="K285" s="130"/>
      <c r="L285" s="130"/>
      <c r="M285" s="130"/>
      <c r="N285" s="130"/>
      <c r="O285" s="130"/>
      <c r="P285" s="131" t="s">
        <v>202</v>
      </c>
      <c r="Q285" s="130"/>
      <c r="R285" s="130"/>
      <c r="S285" s="130"/>
      <c r="T285" s="130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</row>
    <row r="286" spans="1:82" ht="20" customHeight="1" x14ac:dyDescent="0.2">
      <c r="A286" s="198"/>
      <c r="B286" s="130"/>
      <c r="C286" s="130"/>
      <c r="D286" s="130"/>
      <c r="E286" s="130"/>
      <c r="F286" s="130"/>
      <c r="G286" s="130"/>
      <c r="H286" s="130"/>
      <c r="I286" s="130"/>
      <c r="J286" s="130"/>
      <c r="K286" s="130"/>
      <c r="L286" s="130"/>
      <c r="M286" s="130"/>
      <c r="N286" s="130"/>
      <c r="O286" s="130"/>
      <c r="P286" s="211">
        <f>AVERAGE(Blueprint_inference!P284:R284)</f>
        <v>1.9741134733841836</v>
      </c>
      <c r="Q286" s="211"/>
      <c r="R286" s="130"/>
      <c r="S286" s="130"/>
      <c r="T286" s="141" t="str">
        <f>HYPERLINK("#Blueprint!torchcode", "&lt;/&gt;")</f>
        <v>&lt;/&gt;</v>
      </c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</row>
    <row r="287" spans="1:82" ht="20" customHeight="1" x14ac:dyDescent="0.2">
      <c r="A287" s="198"/>
      <c r="B287" s="130"/>
      <c r="C287" s="130"/>
      <c r="D287" s="130"/>
      <c r="E287" s="130"/>
      <c r="F287" s="130"/>
      <c r="G287" s="130"/>
      <c r="H287" s="130"/>
      <c r="I287" s="130"/>
      <c r="J287" s="130"/>
      <c r="K287" s="130"/>
      <c r="L287" s="130"/>
      <c r="M287" s="130"/>
      <c r="N287" s="130"/>
      <c r="O287" s="130"/>
      <c r="P287" s="130"/>
      <c r="Q287" s="130"/>
      <c r="R287" s="130"/>
      <c r="S287" s="130"/>
      <c r="T287" s="142" t="str">
        <f>HYPERLINK("#X", "▲")</f>
        <v>▲</v>
      </c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</row>
    <row r="288" spans="1:82" ht="20" customHeight="1" x14ac:dyDescent="0.2"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</row>
    <row r="289" spans="22:82" ht="20" customHeight="1" x14ac:dyDescent="0.2"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</row>
    <row r="290" spans="22:82" ht="20" customHeight="1" x14ac:dyDescent="0.2"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</row>
    <row r="291" spans="22:82" ht="20" customHeight="1" x14ac:dyDescent="0.2"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</row>
    <row r="292" spans="22:82" ht="20" customHeight="1" x14ac:dyDescent="0.2"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</row>
    <row r="293" spans="22:82" ht="20" customHeight="1" x14ac:dyDescent="0.2"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</row>
    <row r="294" spans="22:82" ht="20" customHeight="1" x14ac:dyDescent="0.2"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</row>
    <row r="295" spans="22:82" ht="20" customHeight="1" x14ac:dyDescent="0.2"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</row>
    <row r="296" spans="22:82" ht="20" customHeight="1" x14ac:dyDescent="0.2"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</row>
    <row r="297" spans="22:82" ht="20" customHeight="1" x14ac:dyDescent="0.2"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</row>
    <row r="298" spans="22:82" ht="20" customHeight="1" x14ac:dyDescent="0.2"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</row>
    <row r="299" spans="22:82" ht="20" customHeight="1" x14ac:dyDescent="0.2"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</row>
    <row r="300" spans="22:82" ht="20" customHeight="1" x14ac:dyDescent="0.2"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</row>
    <row r="301" spans="22:82" ht="20" customHeight="1" x14ac:dyDescent="0.2"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</row>
    <row r="302" spans="22:82" ht="20" customHeight="1" x14ac:dyDescent="0.2"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</row>
    <row r="303" spans="22:82" ht="20" customHeight="1" x14ac:dyDescent="0.2"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</row>
    <row r="304" spans="22:82" ht="20" customHeight="1" x14ac:dyDescent="0.2"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</row>
    <row r="305" spans="22:82" ht="20" customHeight="1" x14ac:dyDescent="0.2"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</row>
    <row r="306" spans="22:82" ht="20" customHeight="1" x14ac:dyDescent="0.2"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</row>
    <row r="307" spans="22:82" ht="20" customHeight="1" x14ac:dyDescent="0.2"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</row>
    <row r="308" spans="22:82" ht="20" customHeight="1" x14ac:dyDescent="0.2"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</row>
    <row r="309" spans="22:82" ht="20" customHeight="1" x14ac:dyDescent="0.2"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</row>
    <row r="310" spans="22:82" ht="20" customHeight="1" x14ac:dyDescent="0.2"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</row>
    <row r="311" spans="22:82" ht="20" customHeight="1" x14ac:dyDescent="0.2"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</row>
    <row r="312" spans="22:82" ht="20" customHeight="1" x14ac:dyDescent="0.2"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</row>
    <row r="313" spans="22:82" ht="20" customHeight="1" x14ac:dyDescent="0.2"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</row>
    <row r="314" spans="22:82" ht="20" customHeight="1" x14ac:dyDescent="0.2"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</row>
    <row r="315" spans="22:82" ht="20" customHeight="1" x14ac:dyDescent="0.2"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</row>
    <row r="316" spans="22:82" ht="20" customHeight="1" x14ac:dyDescent="0.2"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</row>
    <row r="317" spans="22:82" ht="20" customHeight="1" x14ac:dyDescent="0.2"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</row>
    <row r="318" spans="22:82" ht="20" customHeight="1" x14ac:dyDescent="0.2"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</row>
    <row r="319" spans="22:82" ht="20" customHeight="1" x14ac:dyDescent="0.2"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</row>
    <row r="320" spans="22:82" ht="20" customHeight="1" x14ac:dyDescent="0.2"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</row>
    <row r="321" spans="22:82" ht="20" customHeight="1" x14ac:dyDescent="0.2"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</row>
    <row r="322" spans="22:82" ht="20" customHeight="1" x14ac:dyDescent="0.2"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</row>
    <row r="323" spans="22:82" ht="20" customHeight="1" x14ac:dyDescent="0.2"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</row>
    <row r="324" spans="22:82" ht="20" customHeight="1" x14ac:dyDescent="0.2"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</row>
    <row r="325" spans="22:82" ht="20" customHeight="1" x14ac:dyDescent="0.2"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</row>
    <row r="326" spans="22:82" ht="20" customHeight="1" x14ac:dyDescent="0.2"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</row>
    <row r="327" spans="22:82" ht="20" customHeight="1" x14ac:dyDescent="0.2"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</row>
    <row r="328" spans="22:82" ht="20" customHeight="1" x14ac:dyDescent="0.2"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</row>
    <row r="329" spans="22:82" ht="20" customHeight="1" x14ac:dyDescent="0.2"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</row>
    <row r="330" spans="22:82" ht="20" customHeight="1" x14ac:dyDescent="0.2"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</row>
    <row r="331" spans="22:82" ht="20" customHeight="1" x14ac:dyDescent="0.2"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</row>
    <row r="332" spans="22:82" ht="20" customHeight="1" x14ac:dyDescent="0.2"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</row>
    <row r="333" spans="22:82" ht="20" customHeight="1" x14ac:dyDescent="0.2"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</row>
    <row r="334" spans="22:82" ht="20" customHeight="1" x14ac:dyDescent="0.2"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</row>
    <row r="335" spans="22:82" ht="20" customHeight="1" x14ac:dyDescent="0.2"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</row>
    <row r="336" spans="22:82" ht="20" customHeight="1" x14ac:dyDescent="0.2"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</row>
    <row r="337" spans="22:82" ht="20" customHeight="1" x14ac:dyDescent="0.2"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</row>
    <row r="338" spans="22:82" ht="20" customHeight="1" x14ac:dyDescent="0.2"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</row>
    <row r="339" spans="22:82" ht="20" customHeight="1" x14ac:dyDescent="0.2"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</row>
    <row r="340" spans="22:82" ht="20" customHeight="1" x14ac:dyDescent="0.2"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</row>
    <row r="341" spans="22:82" ht="20" customHeight="1" x14ac:dyDescent="0.2"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</row>
    <row r="342" spans="22:82" ht="20" customHeight="1" x14ac:dyDescent="0.2"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</row>
    <row r="343" spans="22:82" ht="20" customHeight="1" x14ac:dyDescent="0.2"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</row>
    <row r="344" spans="22:82" ht="20" customHeight="1" x14ac:dyDescent="0.2"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</row>
    <row r="345" spans="22:82" ht="20" customHeight="1" x14ac:dyDescent="0.2"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</row>
    <row r="346" spans="22:82" ht="20" customHeight="1" x14ac:dyDescent="0.2"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</row>
    <row r="347" spans="22:82" ht="20" customHeight="1" x14ac:dyDescent="0.2"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</row>
    <row r="348" spans="22:82" ht="20" customHeight="1" x14ac:dyDescent="0.2"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</row>
    <row r="349" spans="22:82" ht="20" customHeight="1" x14ac:dyDescent="0.2"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</row>
    <row r="350" spans="22:82" ht="20" customHeight="1" x14ac:dyDescent="0.2"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</row>
    <row r="351" spans="22:82" ht="20" customHeight="1" x14ac:dyDescent="0.2"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</row>
    <row r="352" spans="22:82" ht="20" customHeight="1" x14ac:dyDescent="0.2"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</row>
    <row r="353" spans="22:82" ht="20" customHeight="1" x14ac:dyDescent="0.2"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</row>
    <row r="354" spans="22:82" ht="20" customHeight="1" x14ac:dyDescent="0.2"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</row>
    <row r="355" spans="22:82" ht="20" customHeight="1" x14ac:dyDescent="0.2"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</row>
    <row r="356" spans="22:82" ht="20" customHeight="1" x14ac:dyDescent="0.2"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</row>
    <row r="357" spans="22:82" ht="20" customHeight="1" x14ac:dyDescent="0.2"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</row>
    <row r="358" spans="22:82" ht="20" customHeight="1" x14ac:dyDescent="0.2"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</row>
    <row r="359" spans="22:82" ht="20" customHeight="1" x14ac:dyDescent="0.2"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</row>
    <row r="360" spans="22:82" ht="20" customHeight="1" x14ac:dyDescent="0.2"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</row>
    <row r="361" spans="22:82" ht="20" customHeight="1" x14ac:dyDescent="0.2"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</row>
    <row r="362" spans="22:82" ht="20" customHeight="1" x14ac:dyDescent="0.2"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</row>
    <row r="363" spans="22:82" ht="20" customHeight="1" x14ac:dyDescent="0.2"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</row>
    <row r="364" spans="22:82" ht="20" customHeight="1" x14ac:dyDescent="0.2"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</row>
    <row r="365" spans="22:82" ht="20" customHeight="1" x14ac:dyDescent="0.2"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</row>
    <row r="366" spans="22:82" ht="20" customHeight="1" x14ac:dyDescent="0.2"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</row>
    <row r="367" spans="22:82" ht="20" customHeight="1" x14ac:dyDescent="0.2"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</row>
    <row r="368" spans="22:82" ht="20" customHeight="1" x14ac:dyDescent="0.2"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</row>
    <row r="369" spans="22:82" ht="20" customHeight="1" x14ac:dyDescent="0.2"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</row>
    <row r="370" spans="22:82" ht="20" customHeight="1" x14ac:dyDescent="0.2"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</row>
    <row r="371" spans="22:82" ht="20" customHeight="1" x14ac:dyDescent="0.2"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</row>
    <row r="372" spans="22:82" ht="20" customHeight="1" x14ac:dyDescent="0.2"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</row>
    <row r="373" spans="22:82" ht="20" customHeight="1" x14ac:dyDescent="0.2"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</row>
    <row r="374" spans="22:82" ht="20" customHeight="1" x14ac:dyDescent="0.2"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</row>
    <row r="375" spans="22:82" ht="20" customHeight="1" x14ac:dyDescent="0.2"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</row>
    <row r="376" spans="22:82" ht="20" customHeight="1" x14ac:dyDescent="0.2"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</row>
    <row r="377" spans="22:82" ht="20" customHeight="1" x14ac:dyDescent="0.2"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</row>
    <row r="378" spans="22:82" ht="20" customHeight="1" x14ac:dyDescent="0.2"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</row>
    <row r="379" spans="22:82" ht="20" customHeight="1" x14ac:dyDescent="0.2"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</row>
    <row r="380" spans="22:82" ht="20" customHeight="1" x14ac:dyDescent="0.2"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</row>
    <row r="381" spans="22:82" ht="20" customHeight="1" x14ac:dyDescent="0.2"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</row>
    <row r="382" spans="22:82" ht="20" customHeight="1" x14ac:dyDescent="0.2"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</row>
    <row r="383" spans="22:82" ht="20" customHeight="1" x14ac:dyDescent="0.2"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</row>
    <row r="384" spans="22:82" ht="20" customHeight="1" x14ac:dyDescent="0.2"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</row>
    <row r="385" spans="22:82" ht="20" customHeight="1" x14ac:dyDescent="0.2"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</row>
    <row r="386" spans="22:82" ht="20" customHeight="1" x14ac:dyDescent="0.2"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</row>
    <row r="387" spans="22:82" ht="20" customHeight="1" x14ac:dyDescent="0.2"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</row>
    <row r="388" spans="22:82" ht="20" customHeight="1" x14ac:dyDescent="0.2"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</row>
    <row r="389" spans="22:82" ht="20" customHeight="1" x14ac:dyDescent="0.2"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</row>
    <row r="390" spans="22:82" ht="20" customHeight="1" x14ac:dyDescent="0.2"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</row>
    <row r="391" spans="22:82" ht="20" customHeight="1" x14ac:dyDescent="0.2"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</row>
    <row r="392" spans="22:82" ht="20" customHeight="1" x14ac:dyDescent="0.2"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</row>
    <row r="393" spans="22:82" ht="20" customHeight="1" x14ac:dyDescent="0.2"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</row>
    <row r="394" spans="22:82" ht="20" customHeight="1" x14ac:dyDescent="0.2"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</row>
    <row r="395" spans="22:82" ht="20" customHeight="1" x14ac:dyDescent="0.2"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</row>
    <row r="396" spans="22:82" ht="20" customHeight="1" x14ac:dyDescent="0.2"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</row>
    <row r="397" spans="22:82" ht="20" customHeight="1" x14ac:dyDescent="0.2"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</row>
    <row r="398" spans="22:82" ht="20" customHeight="1" x14ac:dyDescent="0.2"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</row>
    <row r="399" spans="22:82" ht="20" customHeight="1" x14ac:dyDescent="0.2"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</row>
    <row r="400" spans="22:82" ht="20" customHeight="1" x14ac:dyDescent="0.2"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</row>
    <row r="401" spans="22:82" ht="20" customHeight="1" x14ac:dyDescent="0.2"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</row>
    <row r="402" spans="22:82" ht="20" customHeight="1" x14ac:dyDescent="0.2"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</row>
    <row r="403" spans="22:82" ht="20" customHeight="1" x14ac:dyDescent="0.2"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</row>
    <row r="404" spans="22:82" ht="20" customHeight="1" x14ac:dyDescent="0.2"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</row>
    <row r="405" spans="22:82" ht="20" customHeight="1" x14ac:dyDescent="0.2"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</row>
    <row r="406" spans="22:82" ht="20" customHeight="1" x14ac:dyDescent="0.2"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</row>
    <row r="407" spans="22:82" ht="20" customHeight="1" x14ac:dyDescent="0.2"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</row>
    <row r="408" spans="22:82" ht="20" customHeight="1" x14ac:dyDescent="0.2"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</row>
    <row r="409" spans="22:82" ht="20" customHeight="1" x14ac:dyDescent="0.2"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</row>
    <row r="410" spans="22:82" ht="20" customHeight="1" x14ac:dyDescent="0.2"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</row>
    <row r="411" spans="22:82" ht="20" customHeight="1" x14ac:dyDescent="0.2"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</row>
    <row r="412" spans="22:82" ht="20" customHeight="1" x14ac:dyDescent="0.2"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</row>
    <row r="413" spans="22:82" ht="20" customHeight="1" x14ac:dyDescent="0.2"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</row>
    <row r="414" spans="22:82" ht="20" customHeight="1" x14ac:dyDescent="0.2"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</row>
    <row r="415" spans="22:82" ht="20" customHeight="1" x14ac:dyDescent="0.2"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</row>
    <row r="416" spans="22:82" ht="20" customHeight="1" x14ac:dyDescent="0.2"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</row>
    <row r="417" spans="22:82" ht="20" customHeight="1" x14ac:dyDescent="0.2"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</row>
    <row r="418" spans="22:82" ht="20" customHeight="1" x14ac:dyDescent="0.2"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</row>
    <row r="419" spans="22:82" ht="20" customHeight="1" x14ac:dyDescent="0.2"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</row>
    <row r="420" spans="22:82" ht="20" customHeight="1" x14ac:dyDescent="0.2"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</row>
    <row r="421" spans="22:82" ht="20" customHeight="1" x14ac:dyDescent="0.2"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</row>
    <row r="422" spans="22:82" ht="20" customHeight="1" x14ac:dyDescent="0.2"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</row>
    <row r="423" spans="22:82" ht="20" customHeight="1" x14ac:dyDescent="0.2"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</row>
    <row r="424" spans="22:82" ht="20" customHeight="1" x14ac:dyDescent="0.2"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</row>
    <row r="425" spans="22:82" ht="20" customHeight="1" x14ac:dyDescent="0.2"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</row>
    <row r="426" spans="22:82" ht="20" customHeight="1" x14ac:dyDescent="0.2"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</row>
    <row r="427" spans="22:82" ht="20" customHeight="1" x14ac:dyDescent="0.2"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</row>
    <row r="428" spans="22:82" ht="20" customHeight="1" x14ac:dyDescent="0.2"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</row>
    <row r="429" spans="22:82" ht="20" customHeight="1" x14ac:dyDescent="0.2"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</row>
    <row r="430" spans="22:82" ht="20" customHeight="1" x14ac:dyDescent="0.2"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</row>
    <row r="431" spans="22:82" ht="20" customHeight="1" x14ac:dyDescent="0.2"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</row>
    <row r="432" spans="22:82" ht="20" customHeight="1" x14ac:dyDescent="0.2"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</row>
    <row r="433" spans="22:82" ht="20" customHeight="1" x14ac:dyDescent="0.2"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</row>
    <row r="434" spans="22:82" ht="20" customHeight="1" x14ac:dyDescent="0.2"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</row>
    <row r="435" spans="22:82" ht="20" customHeight="1" x14ac:dyDescent="0.2"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</row>
    <row r="436" spans="22:82" ht="20" customHeight="1" x14ac:dyDescent="0.2"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</row>
    <row r="437" spans="22:82" ht="20" customHeight="1" x14ac:dyDescent="0.2"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</row>
    <row r="438" spans="22:82" ht="20" customHeight="1" x14ac:dyDescent="0.2"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</row>
    <row r="439" spans="22:82" ht="20" customHeight="1" x14ac:dyDescent="0.2"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</row>
    <row r="440" spans="22:82" ht="20" customHeight="1" x14ac:dyDescent="0.2"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</row>
    <row r="441" spans="22:82" ht="20" customHeight="1" x14ac:dyDescent="0.2"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</row>
    <row r="442" spans="22:82" ht="20" customHeight="1" x14ac:dyDescent="0.2"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</row>
    <row r="443" spans="22:82" ht="20" customHeight="1" x14ac:dyDescent="0.2"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</row>
    <row r="444" spans="22:82" ht="20" customHeight="1" x14ac:dyDescent="0.2"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</row>
    <row r="445" spans="22:82" ht="20" customHeight="1" x14ac:dyDescent="0.2"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</row>
    <row r="446" spans="22:82" ht="20" customHeight="1" x14ac:dyDescent="0.2"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</row>
    <row r="447" spans="22:82" ht="20" customHeight="1" x14ac:dyDescent="0.2"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</row>
    <row r="448" spans="22:82" ht="20" customHeight="1" x14ac:dyDescent="0.2"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</row>
    <row r="449" spans="22:82" ht="20" customHeight="1" x14ac:dyDescent="0.2"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</row>
    <row r="450" spans="22:82" ht="20" customHeight="1" x14ac:dyDescent="0.2"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</row>
    <row r="451" spans="22:82" ht="20" customHeight="1" x14ac:dyDescent="0.2"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</row>
    <row r="452" spans="22:82" ht="20" customHeight="1" x14ac:dyDescent="0.2"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</row>
    <row r="453" spans="22:82" ht="20" customHeight="1" x14ac:dyDescent="0.2"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</row>
    <row r="454" spans="22:82" ht="20" customHeight="1" x14ac:dyDescent="0.2"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</row>
    <row r="455" spans="22:82" ht="20" customHeight="1" x14ac:dyDescent="0.2"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</row>
    <row r="456" spans="22:82" ht="20" customHeight="1" x14ac:dyDescent="0.2"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</row>
    <row r="457" spans="22:82" ht="20" customHeight="1" x14ac:dyDescent="0.2"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</row>
    <row r="458" spans="22:82" ht="20" customHeight="1" x14ac:dyDescent="0.2"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</row>
    <row r="459" spans="22:82" ht="20" customHeight="1" x14ac:dyDescent="0.2"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</row>
    <row r="460" spans="22:82" ht="20" customHeight="1" x14ac:dyDescent="0.2"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</row>
    <row r="461" spans="22:82" ht="20" customHeight="1" x14ac:dyDescent="0.2"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</row>
    <row r="462" spans="22:82" ht="20" customHeight="1" x14ac:dyDescent="0.2"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</row>
    <row r="463" spans="22:82" ht="20" customHeight="1" x14ac:dyDescent="0.2"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</row>
    <row r="464" spans="22:82" ht="20" customHeight="1" x14ac:dyDescent="0.2"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</row>
    <row r="465" spans="22:82" ht="20" customHeight="1" x14ac:dyDescent="0.2"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</row>
    <row r="466" spans="22:82" ht="20" customHeight="1" x14ac:dyDescent="0.2"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</row>
    <row r="467" spans="22:82" ht="20" customHeight="1" x14ac:dyDescent="0.2"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</row>
    <row r="468" spans="22:82" ht="20" customHeight="1" x14ac:dyDescent="0.2"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</row>
    <row r="469" spans="22:82" ht="20" customHeight="1" x14ac:dyDescent="0.2"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</row>
    <row r="470" spans="22:82" ht="20" customHeight="1" x14ac:dyDescent="0.2"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</row>
    <row r="471" spans="22:82" ht="20" customHeight="1" x14ac:dyDescent="0.2"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</row>
    <row r="472" spans="22:82" ht="20" customHeight="1" x14ac:dyDescent="0.2"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</row>
    <row r="473" spans="22:82" ht="20" customHeight="1" x14ac:dyDescent="0.2"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</row>
    <row r="474" spans="22:82" ht="20" customHeight="1" x14ac:dyDescent="0.2"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</row>
    <row r="475" spans="22:82" ht="20" customHeight="1" x14ac:dyDescent="0.2"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  <c r="CB475"/>
      <c r="CC475"/>
      <c r="CD475"/>
    </row>
    <row r="476" spans="22:82" ht="20" customHeight="1" x14ac:dyDescent="0.2"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  <c r="BY476"/>
      <c r="BZ476"/>
      <c r="CA476"/>
      <c r="CB476"/>
      <c r="CC476"/>
      <c r="CD476"/>
    </row>
    <row r="477" spans="22:82" ht="20" customHeight="1" x14ac:dyDescent="0.2"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</row>
    <row r="478" spans="22:82" ht="20" customHeight="1" x14ac:dyDescent="0.2"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</row>
    <row r="479" spans="22:82" ht="20" customHeight="1" x14ac:dyDescent="0.2"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</row>
    <row r="480" spans="22:82" ht="20" customHeight="1" x14ac:dyDescent="0.2"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/>
      <c r="CC480"/>
      <c r="CD480"/>
    </row>
    <row r="481" spans="22:82" ht="20" customHeight="1" x14ac:dyDescent="0.2"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</row>
    <row r="482" spans="22:82" ht="20" customHeight="1" x14ac:dyDescent="0.2"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  <c r="CB482"/>
      <c r="CC482"/>
      <c r="CD482"/>
    </row>
    <row r="483" spans="22:82" ht="20" customHeight="1" x14ac:dyDescent="0.2"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/>
    </row>
    <row r="484" spans="22:82" ht="20" customHeight="1" x14ac:dyDescent="0.2"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/>
      <c r="BZ484"/>
      <c r="CA484"/>
      <c r="CB484"/>
      <c r="CC484"/>
      <c r="CD484"/>
    </row>
    <row r="485" spans="22:82" ht="20" customHeight="1" x14ac:dyDescent="0.2"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</row>
    <row r="486" spans="22:82" ht="20" customHeight="1" x14ac:dyDescent="0.2"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/>
      <c r="CC486"/>
      <c r="CD486"/>
    </row>
    <row r="487" spans="22:82" ht="20" customHeight="1" x14ac:dyDescent="0.2"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/>
    </row>
    <row r="488" spans="22:82" ht="20" customHeight="1" x14ac:dyDescent="0.2"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/>
      <c r="CD488"/>
    </row>
    <row r="489" spans="22:82" ht="20" customHeight="1" x14ac:dyDescent="0.2"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/>
      <c r="CD489"/>
    </row>
    <row r="490" spans="22:82" ht="20" customHeight="1" x14ac:dyDescent="0.2"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</row>
    <row r="491" spans="22:82" ht="20" customHeight="1" x14ac:dyDescent="0.2"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/>
    </row>
    <row r="492" spans="22:82" ht="20" customHeight="1" x14ac:dyDescent="0.2"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/>
      <c r="CD492"/>
    </row>
    <row r="493" spans="22:82" ht="20" customHeight="1" x14ac:dyDescent="0.2"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</row>
    <row r="494" spans="22:82" ht="20" customHeight="1" x14ac:dyDescent="0.2"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  <c r="BY494"/>
      <c r="BZ494"/>
      <c r="CA494"/>
      <c r="CB494"/>
      <c r="CC494"/>
      <c r="CD494"/>
    </row>
    <row r="495" spans="22:82" ht="20" customHeight="1" x14ac:dyDescent="0.2"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/>
    </row>
    <row r="496" spans="22:82" ht="20" customHeight="1" x14ac:dyDescent="0.2"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/>
      <c r="CC496"/>
      <c r="CD496"/>
    </row>
    <row r="497" spans="22:82" ht="20" customHeight="1" x14ac:dyDescent="0.2"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</row>
    <row r="498" spans="22:82" ht="20" customHeight="1" x14ac:dyDescent="0.2"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</row>
    <row r="499" spans="22:82" ht="20" customHeight="1" x14ac:dyDescent="0.2"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</row>
    <row r="500" spans="22:82" ht="20" customHeight="1" x14ac:dyDescent="0.2"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/>
      <c r="CC500"/>
      <c r="CD500"/>
    </row>
    <row r="501" spans="22:82" ht="20" customHeight="1" x14ac:dyDescent="0.2"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/>
      <c r="CC501"/>
      <c r="CD501"/>
    </row>
    <row r="502" spans="22:82" ht="20" customHeight="1" x14ac:dyDescent="0.2"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/>
      <c r="BZ502"/>
      <c r="CA502"/>
      <c r="CB502"/>
      <c r="CC502"/>
      <c r="CD502"/>
    </row>
    <row r="503" spans="22:82" ht="20" customHeight="1" x14ac:dyDescent="0.2"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/>
      <c r="CC503"/>
      <c r="CD503"/>
    </row>
    <row r="504" spans="22:82" ht="20" customHeight="1" x14ac:dyDescent="0.2"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  <c r="CA504"/>
      <c r="CB504"/>
      <c r="CC504"/>
      <c r="CD504"/>
    </row>
    <row r="505" spans="22:82" ht="20" customHeight="1" x14ac:dyDescent="0.2"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/>
    </row>
    <row r="506" spans="22:82" ht="20" customHeight="1" x14ac:dyDescent="0.2"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  <c r="BY506"/>
      <c r="BZ506"/>
      <c r="CA506"/>
      <c r="CB506"/>
      <c r="CC506"/>
      <c r="CD506"/>
    </row>
    <row r="507" spans="22:82" ht="20" customHeight="1" x14ac:dyDescent="0.2"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/>
      <c r="BX507"/>
      <c r="BY507"/>
      <c r="BZ507"/>
      <c r="CA507"/>
      <c r="CB507"/>
      <c r="CC507"/>
      <c r="CD507"/>
    </row>
    <row r="508" spans="22:82" ht="20" customHeight="1" x14ac:dyDescent="0.2"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  <c r="CB508"/>
      <c r="CC508"/>
      <c r="CD508"/>
    </row>
    <row r="509" spans="22:82" ht="20" customHeight="1" x14ac:dyDescent="0.2"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  <c r="CA509"/>
      <c r="CB509"/>
      <c r="CC509"/>
      <c r="CD509"/>
    </row>
    <row r="510" spans="22:82" ht="20" customHeight="1" x14ac:dyDescent="0.2"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/>
      <c r="BX510"/>
      <c r="BY510"/>
      <c r="BZ510"/>
      <c r="CA510"/>
      <c r="CB510"/>
      <c r="CC510"/>
      <c r="CD510"/>
    </row>
    <row r="511" spans="22:82" ht="20" customHeight="1" x14ac:dyDescent="0.2"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  <c r="CA511"/>
      <c r="CB511"/>
      <c r="CC511"/>
      <c r="CD511"/>
    </row>
    <row r="512" spans="22:82" ht="20" customHeight="1" x14ac:dyDescent="0.2"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/>
      <c r="BX512"/>
      <c r="BY512"/>
      <c r="BZ512"/>
      <c r="CA512"/>
      <c r="CB512"/>
      <c r="CC512"/>
      <c r="CD512"/>
    </row>
    <row r="513" spans="22:82" ht="20" customHeight="1" x14ac:dyDescent="0.2"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  <c r="CA513"/>
      <c r="CB513"/>
      <c r="CC513"/>
      <c r="CD513"/>
    </row>
    <row r="514" spans="22:82" ht="20" customHeight="1" x14ac:dyDescent="0.2"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  <c r="CA514"/>
      <c r="CB514"/>
      <c r="CC514"/>
      <c r="CD514"/>
    </row>
    <row r="515" spans="22:82" ht="20" customHeight="1" x14ac:dyDescent="0.2"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W515"/>
      <c r="BX515"/>
      <c r="BY515"/>
      <c r="BZ515"/>
      <c r="CA515"/>
      <c r="CB515"/>
      <c r="CC515"/>
      <c r="CD515"/>
    </row>
  </sheetData>
  <mergeCells count="15">
    <mergeCell ref="A172:A192"/>
    <mergeCell ref="A194:A206"/>
    <mergeCell ref="A208:A231"/>
    <mergeCell ref="A233:A258"/>
    <mergeCell ref="A260:A287"/>
    <mergeCell ref="P286:Q286"/>
    <mergeCell ref="A48:A65"/>
    <mergeCell ref="A67:A79"/>
    <mergeCell ref="A81:A116"/>
    <mergeCell ref="A118:A128"/>
    <mergeCell ref="A130:A158"/>
    <mergeCell ref="A160:A170"/>
    <mergeCell ref="B2:T2"/>
    <mergeCell ref="A27:A33"/>
    <mergeCell ref="A35:A46"/>
  </mergeCells>
  <conditionalFormatting sqref="P5:R11">
    <cfRule type="colorScale" priority="1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P16:R25">
    <cfRule type="colorScale" priority="2">
      <colorScale>
        <cfvo type="min"/>
        <cfvo type="percentile" val="50"/>
        <cfvo type="max"/>
        <color rgb="FFF5F5F5"/>
        <color rgb="FFF5F5F5"/>
        <color rgb="FFFF0000"/>
      </colorScale>
    </cfRule>
  </conditionalFormatting>
  <conditionalFormatting sqref="G29:N32">
    <cfRule type="colorScale" priority="3">
      <colorScale>
        <cfvo type="min"/>
        <cfvo type="percentile" val="50"/>
        <cfvo type="max"/>
        <color rgb="FFFFA500"/>
        <color rgb="FFF5F5F5"/>
        <color rgb="FFFFFF00"/>
      </colorScale>
    </cfRule>
  </conditionalFormatting>
  <conditionalFormatting sqref="P29:R32">
    <cfRule type="colorScale" priority="4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P37:R40">
    <cfRule type="colorScale" priority="5">
      <colorScale>
        <cfvo type="min"/>
        <cfvo type="percentile" val="50"/>
        <cfvo type="max"/>
        <color rgb="FF228B22"/>
        <color rgb="FFF5F5F5"/>
        <color rgb="FF98FB98"/>
      </colorScale>
    </cfRule>
  </conditionalFormatting>
  <conditionalFormatting sqref="P42:R45">
    <cfRule type="colorScale" priority="6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P50:R53">
    <cfRule type="colorScale" priority="7">
      <colorScale>
        <cfvo type="min"/>
        <cfvo type="percentile" val="50"/>
        <cfvo type="max"/>
        <color rgb="FF228B22"/>
        <color rgb="FFF5F5F5"/>
        <color rgb="FF98FB98"/>
      </colorScale>
    </cfRule>
  </conditionalFormatting>
  <conditionalFormatting sqref="P55:R58">
    <cfRule type="colorScale" priority="8">
      <colorScale>
        <cfvo type="min"/>
        <cfvo type="percentile" val="50"/>
        <cfvo type="max"/>
        <color rgb="FF228B22"/>
        <color rgb="FFF5F5F5"/>
        <color rgb="FF98FB98"/>
      </colorScale>
    </cfRule>
  </conditionalFormatting>
  <conditionalFormatting sqref="P60:R63">
    <cfRule type="colorScale" priority="9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J69:N78">
    <cfRule type="colorScale" priority="10">
      <colorScale>
        <cfvo type="min"/>
        <cfvo type="percentile" val="50"/>
        <cfvo type="max"/>
        <color rgb="FFFFA500"/>
        <color rgb="FFF5F5F5"/>
        <color rgb="FFFFFF00"/>
      </colorScale>
    </cfRule>
  </conditionalFormatting>
  <conditionalFormatting sqref="P69:R78">
    <cfRule type="colorScale" priority="11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P83:R92">
    <cfRule type="colorScale" priority="12">
      <colorScale>
        <cfvo type="min"/>
        <cfvo type="percentile" val="50"/>
        <cfvo type="max"/>
        <color rgb="FF228B22"/>
        <color rgb="FFF5F5F5"/>
        <color rgb="FF98FB98"/>
      </colorScale>
    </cfRule>
  </conditionalFormatting>
  <conditionalFormatting sqref="P94:R103">
    <cfRule type="colorScale" priority="13">
      <colorScale>
        <cfvo type="min"/>
        <cfvo type="percentile" val="50"/>
        <cfvo type="max"/>
        <color rgb="FF228B22"/>
        <color rgb="FFF5F5F5"/>
        <color rgb="FF98FB98"/>
      </colorScale>
    </cfRule>
  </conditionalFormatting>
  <conditionalFormatting sqref="P105:R114">
    <cfRule type="colorScale" priority="14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D120:N127">
    <cfRule type="colorScale" priority="15">
      <colorScale>
        <cfvo type="min"/>
        <cfvo type="percentile" val="50"/>
        <cfvo type="max"/>
        <color rgb="FFFFA500"/>
        <color rgb="FFF5F5F5"/>
        <color rgb="FFFFFF00"/>
      </colorScale>
    </cfRule>
  </conditionalFormatting>
  <conditionalFormatting sqref="P120:R127">
    <cfRule type="colorScale" priority="16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P132:R139">
    <cfRule type="colorScale" priority="17">
      <colorScale>
        <cfvo type="min"/>
        <cfvo type="percentile" val="50"/>
        <cfvo type="max"/>
        <color rgb="FF228B22"/>
        <color rgb="FFF5F5F5"/>
        <color rgb="FF98FB98"/>
      </colorScale>
    </cfRule>
  </conditionalFormatting>
  <conditionalFormatting sqref="P141:R148">
    <cfRule type="colorScale" priority="18">
      <colorScale>
        <cfvo type="min"/>
        <cfvo type="percentile" val="50"/>
        <cfvo type="max"/>
        <color rgb="FF228B22"/>
        <color rgb="FFF5F5F5"/>
        <color rgb="FF98FB98"/>
      </colorScale>
    </cfRule>
  </conditionalFormatting>
  <conditionalFormatting sqref="P150:R157">
    <cfRule type="colorScale" priority="19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P162:R169">
    <cfRule type="colorScale" priority="20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P174:R181">
    <cfRule type="colorScale" priority="21">
      <colorScale>
        <cfvo type="min"/>
        <cfvo type="percentile" val="50"/>
        <cfvo type="max"/>
        <color rgb="FF228B22"/>
        <color rgb="FFF5F5F5"/>
        <color rgb="FF98FB98"/>
      </colorScale>
    </cfRule>
  </conditionalFormatting>
  <conditionalFormatting sqref="P183:R190">
    <cfRule type="colorScale" priority="22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F196:N205">
    <cfRule type="colorScale" priority="23">
      <colorScale>
        <cfvo type="min"/>
        <cfvo type="percentile" val="50"/>
        <cfvo type="max"/>
        <color rgb="FFFFA500"/>
        <color rgb="FFF5F5F5"/>
        <color rgb="FFFFFF00"/>
      </colorScale>
    </cfRule>
  </conditionalFormatting>
  <conditionalFormatting sqref="P196:R205">
    <cfRule type="colorScale" priority="24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P210:R219">
    <cfRule type="colorScale" priority="25">
      <colorScale>
        <cfvo type="min"/>
        <cfvo type="percentile" val="50"/>
        <cfvo type="max"/>
        <color rgb="FF228B22"/>
        <color rgb="FFF5F5F5"/>
        <color rgb="FF98FB98"/>
      </colorScale>
    </cfRule>
  </conditionalFormatting>
  <conditionalFormatting sqref="P221:R230">
    <cfRule type="colorScale" priority="26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P235:R244">
    <cfRule type="colorScale" priority="27">
      <colorScale>
        <cfvo type="min"/>
        <cfvo type="percentile" val="50"/>
        <cfvo type="max"/>
        <color rgb="FF228B22"/>
        <color rgb="FFF5F5F5"/>
        <color rgb="FF98FB98"/>
      </colorScale>
    </cfRule>
  </conditionalFormatting>
  <conditionalFormatting sqref="P246:R246">
    <cfRule type="colorScale" priority="28">
      <colorScale>
        <cfvo type="min"/>
        <cfvo type="percentile" val="50"/>
        <cfvo type="max"/>
        <color rgb="FF228B22"/>
        <color rgb="FFF5F5F5"/>
        <color rgb="FF98FB98"/>
      </colorScale>
    </cfRule>
  </conditionalFormatting>
  <conditionalFormatting sqref="P248:R257">
    <cfRule type="colorScale" priority="29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P262:R271">
    <cfRule type="colorScale" priority="30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P273:R282">
    <cfRule type="colorScale" priority="31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P284:R284">
    <cfRule type="colorScale" priority="32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P286:Q286">
    <cfRule type="colorScale" priority="33">
      <colorScale>
        <cfvo type="min"/>
        <cfvo type="percentile" val="50"/>
        <cfvo type="max"/>
        <color rgb="FFFF0000"/>
        <color rgb="FFF5F5F5"/>
        <color rgb="FFFF0000"/>
      </colorScale>
    </cfRule>
  </conditionalFormatting>
  <dataValidations count="1">
    <dataValidation type="list" allowBlank="1" showInputMessage="1" showErrorMessage="1" sqref="P15:R15" xr:uid="{90BF2E80-B4E9-6F48-8136-4B171D917739}">
      <formula1>"0,1,2,3,4,5,6,7,8,9"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06ADB-82D0-0A47-A50E-ABDD329F146B}">
  <sheetPr>
    <tabColor rgb="FF800080"/>
  </sheetPr>
  <dimension ref="A1:CL63"/>
  <sheetViews>
    <sheetView showGridLines="0" showRowColHeader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5" sqref="J5"/>
    </sheetView>
  </sheetViews>
  <sheetFormatPr baseColWidth="10" defaultColWidth="3.33203125" defaultRowHeight="20" customHeight="1" x14ac:dyDescent="0.2"/>
  <cols>
    <col min="1" max="16384" width="3.33203125" style="118"/>
  </cols>
  <sheetData>
    <row r="1" spans="1:90" ht="40" customHeight="1" x14ac:dyDescent="0.2">
      <c r="A1" s="159" t="str">
        <f>HYPERLINK("#Architect!A1", "⏎")</f>
        <v>⏎</v>
      </c>
      <c r="B1" s="63" t="s">
        <v>164</v>
      </c>
    </row>
    <row r="4" spans="1:90" ht="20" customHeight="1" x14ac:dyDescent="0.2">
      <c r="B4" s="172"/>
      <c r="C4" s="182" t="s">
        <v>192</v>
      </c>
      <c r="D4" s="182"/>
      <c r="E4" s="182"/>
      <c r="F4" s="182"/>
      <c r="G4" s="182"/>
      <c r="H4" s="182"/>
      <c r="I4" s="173"/>
      <c r="K4" s="172"/>
      <c r="L4" s="182" t="s">
        <v>166</v>
      </c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  <c r="Y4" s="182"/>
      <c r="Z4" s="182"/>
      <c r="AA4" s="182"/>
      <c r="AB4" s="182"/>
      <c r="AC4" s="182"/>
      <c r="AD4" s="182"/>
      <c r="AE4" s="182"/>
      <c r="AF4" s="185" t="str">
        <f t="shared" ref="AF4:AG4" si="0">HYPERLINK("#Dashboard!dashboard_list", "↩ List")</f>
        <v>↩ List</v>
      </c>
      <c r="AG4" s="185"/>
      <c r="AH4" s="173"/>
      <c r="AN4" s="172"/>
      <c r="AO4" s="182" t="s">
        <v>179</v>
      </c>
      <c r="AP4" s="182"/>
      <c r="AQ4" s="182"/>
      <c r="AR4" s="182"/>
      <c r="AS4" s="182"/>
      <c r="AT4" s="182"/>
      <c r="AU4" s="182"/>
      <c r="AV4" s="182"/>
      <c r="AW4" s="182"/>
      <c r="AX4" s="182"/>
      <c r="AY4" s="182"/>
      <c r="AZ4" s="182"/>
      <c r="BA4" s="182"/>
      <c r="BB4" s="182"/>
      <c r="BC4" s="182"/>
      <c r="BD4" s="182"/>
      <c r="BE4" s="182"/>
      <c r="BF4" s="182"/>
      <c r="BG4" s="182"/>
      <c r="BH4" s="182"/>
      <c r="BI4" s="182"/>
      <c r="BJ4" s="182"/>
      <c r="BK4" s="182"/>
      <c r="BL4" s="182"/>
      <c r="BM4" s="182"/>
      <c r="BN4" s="182"/>
      <c r="BO4" s="182"/>
      <c r="BP4" s="182"/>
      <c r="BQ4" s="182"/>
      <c r="BR4" s="182"/>
      <c r="BS4" s="182"/>
      <c r="BT4" s="182"/>
      <c r="BU4" s="182"/>
      <c r="BV4" s="182"/>
      <c r="BW4" s="182"/>
      <c r="BX4" s="182"/>
      <c r="BY4" s="182"/>
      <c r="BZ4" s="182"/>
      <c r="CA4" s="182"/>
      <c r="CB4" s="182"/>
      <c r="CC4" s="182"/>
      <c r="CD4" s="182"/>
      <c r="CE4" s="182"/>
      <c r="CF4" s="182"/>
      <c r="CG4" s="182"/>
      <c r="CH4" s="182"/>
      <c r="CI4" s="182"/>
      <c r="CJ4" s="185" t="str">
        <f t="shared" ref="CJ4:CK4" si="1">HYPERLINK("#Dashboard!dashboard_list", "↩ List")</f>
        <v>↩ List</v>
      </c>
      <c r="CK4" s="185"/>
      <c r="CL4" s="173"/>
    </row>
    <row r="5" spans="1:90" ht="20" customHeight="1" x14ac:dyDescent="0.2">
      <c r="B5" s="168"/>
      <c r="C5" s="183" t="str">
        <f t="shared" ref="C5:F5" si="2">HYPERLINK("#Dashboard!dashboard_loss", "Loss")</f>
        <v>Loss</v>
      </c>
      <c r="D5" s="183"/>
      <c r="E5" s="183"/>
      <c r="F5" s="183"/>
      <c r="G5" s="207"/>
      <c r="H5" s="207"/>
      <c r="I5" s="170"/>
      <c r="K5" s="167" t="s">
        <v>165</v>
      </c>
      <c r="L5" s="206" t="s">
        <v>166</v>
      </c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207"/>
      <c r="AG5" s="207"/>
      <c r="AH5" s="170"/>
      <c r="AN5" s="168"/>
      <c r="AO5" s="207"/>
      <c r="AP5" s="207"/>
      <c r="AQ5" s="207"/>
      <c r="AR5" s="207"/>
      <c r="AS5" s="207"/>
      <c r="AT5" s="207"/>
      <c r="AU5" s="207"/>
      <c r="AV5" s="207"/>
      <c r="AW5" s="207"/>
      <c r="AX5" s="207"/>
      <c r="AY5" s="207"/>
      <c r="AZ5" s="207"/>
      <c r="BA5" s="207"/>
      <c r="BB5" s="207"/>
      <c r="BC5" s="207"/>
      <c r="BD5" s="207"/>
      <c r="BE5" s="207"/>
      <c r="BF5" s="207"/>
      <c r="BG5" s="207"/>
      <c r="BH5" s="207"/>
      <c r="BI5" s="207"/>
      <c r="BJ5" s="207"/>
      <c r="BK5" s="207"/>
      <c r="BL5" s="207"/>
      <c r="BM5" s="207"/>
      <c r="BN5" s="207"/>
      <c r="BO5" s="207"/>
      <c r="BP5" s="207"/>
      <c r="BQ5" s="207"/>
      <c r="BR5" s="207"/>
      <c r="BS5" s="207"/>
      <c r="BT5" s="207"/>
      <c r="BU5" s="207"/>
      <c r="BV5" s="207"/>
      <c r="BW5" s="207"/>
      <c r="BX5" s="207"/>
      <c r="BY5" s="207"/>
      <c r="BZ5" s="207"/>
      <c r="CA5" s="207"/>
      <c r="CB5" s="207"/>
      <c r="CC5" s="207"/>
      <c r="CD5" s="207"/>
      <c r="CE5" s="207"/>
      <c r="CF5" s="207"/>
      <c r="CG5" s="207"/>
      <c r="CH5" s="207"/>
      <c r="CI5" s="207"/>
      <c r="CJ5" s="207"/>
      <c r="CK5" s="207"/>
      <c r="CL5" s="170"/>
    </row>
    <row r="6" spans="1:90" ht="20" customHeight="1" x14ac:dyDescent="0.2">
      <c r="B6" s="168"/>
      <c r="C6" s="184" t="str">
        <f t="shared" ref="C6:F6" si="3">HYPERLINK("#Dashboard!dashboard_gradients", "Gradient Flow")</f>
        <v>Gradient Flow</v>
      </c>
      <c r="D6" s="184"/>
      <c r="E6" s="184"/>
      <c r="F6" s="184"/>
      <c r="G6" s="207"/>
      <c r="H6" s="207"/>
      <c r="I6" s="170"/>
      <c r="K6" s="168" cm="1">
        <f t="array" ref="K6:K7">_xlfn.SEQUENCE(2, 1, 0)</f>
        <v>0</v>
      </c>
      <c r="L6" s="165">
        <f>Blueprint!LossMean</f>
        <v>2.3186953331823568</v>
      </c>
      <c r="M6" s="207"/>
      <c r="N6" s="207"/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7"/>
      <c r="AC6" s="207"/>
      <c r="AD6" s="207"/>
      <c r="AE6" s="207"/>
      <c r="AF6" s="207"/>
      <c r="AG6" s="207"/>
      <c r="AH6" s="170"/>
      <c r="AN6" s="168"/>
      <c r="AO6" s="207"/>
      <c r="AP6" s="208" t="s">
        <v>167</v>
      </c>
      <c r="AQ6" s="207"/>
      <c r="AR6" s="207"/>
      <c r="AS6" s="207"/>
      <c r="AT6" s="207"/>
      <c r="AU6" s="207"/>
      <c r="AV6" s="207"/>
      <c r="AW6" s="207"/>
      <c r="AX6" s="207"/>
      <c r="AY6" s="207"/>
      <c r="AZ6" s="207"/>
      <c r="BA6" s="207"/>
      <c r="BB6" s="207"/>
      <c r="BC6" s="207"/>
      <c r="BD6" s="207"/>
      <c r="BE6" s="207"/>
      <c r="BF6" s="207"/>
      <c r="BG6" s="207"/>
      <c r="BH6" s="207"/>
      <c r="BI6" s="207"/>
      <c r="BJ6" s="207"/>
      <c r="BK6" s="207"/>
      <c r="BL6" s="207"/>
      <c r="BM6" s="207"/>
      <c r="BN6" s="207"/>
      <c r="BO6" s="207"/>
      <c r="BP6" s="207"/>
      <c r="BQ6" s="207"/>
      <c r="BR6" s="207"/>
      <c r="BS6" s="207"/>
      <c r="BT6" s="207"/>
      <c r="BU6" s="207"/>
      <c r="BV6" s="207"/>
      <c r="BW6" s="207"/>
      <c r="BX6" s="207"/>
      <c r="BY6" s="207"/>
      <c r="BZ6" s="207"/>
      <c r="CA6" s="207"/>
      <c r="CB6" s="207"/>
      <c r="CC6" s="207"/>
      <c r="CD6" s="207"/>
      <c r="CE6" s="207"/>
      <c r="CF6" s="207"/>
      <c r="CG6" s="207"/>
      <c r="CH6" s="207"/>
      <c r="CI6" s="207"/>
      <c r="CJ6" s="207"/>
      <c r="CK6" s="207"/>
      <c r="CL6" s="170"/>
    </row>
    <row r="7" spans="1:90" ht="20" customHeight="1" x14ac:dyDescent="0.2">
      <c r="B7" s="168"/>
      <c r="C7" s="184" t="str">
        <f t="shared" ref="C7:F7" si="4">HYPERLINK("#Dashboard!dashboard_weights", "Weight Update")</f>
        <v>Weight Update</v>
      </c>
      <c r="D7" s="184"/>
      <c r="E7" s="184"/>
      <c r="F7" s="184"/>
      <c r="G7" s="207"/>
      <c r="H7" s="207"/>
      <c r="I7" s="170"/>
      <c r="K7" s="168">
        <v>1</v>
      </c>
      <c r="L7" s="165">
        <f>Blueprint_ep1!LossMean</f>
        <v>1.9741134733841836</v>
      </c>
      <c r="M7" s="207"/>
      <c r="N7" s="207"/>
      <c r="O7" s="207"/>
      <c r="P7" s="207"/>
      <c r="Q7" s="207"/>
      <c r="R7" s="207"/>
      <c r="S7" s="207"/>
      <c r="T7" s="207"/>
      <c r="U7" s="207"/>
      <c r="V7" s="207"/>
      <c r="W7" s="207"/>
      <c r="X7" s="207"/>
      <c r="Y7" s="207"/>
      <c r="Z7" s="207"/>
      <c r="AA7" s="207"/>
      <c r="AB7" s="207"/>
      <c r="AC7" s="207"/>
      <c r="AD7" s="207"/>
      <c r="AE7" s="207"/>
      <c r="AF7" s="207"/>
      <c r="AG7" s="207"/>
      <c r="AH7" s="170"/>
      <c r="AN7" s="168"/>
      <c r="AO7" s="207"/>
      <c r="AP7" s="209" t="s">
        <v>168</v>
      </c>
      <c r="AQ7" s="207"/>
      <c r="AR7" s="207"/>
      <c r="AS7" s="207"/>
      <c r="AT7" s="207"/>
      <c r="AU7" s="207"/>
      <c r="AV7" s="207"/>
      <c r="AW7" s="207"/>
      <c r="AX7" s="207"/>
      <c r="AY7" s="207"/>
      <c r="AZ7" s="207"/>
      <c r="BA7" s="207"/>
      <c r="BB7" s="207"/>
      <c r="BC7" s="207"/>
      <c r="BD7" s="207"/>
      <c r="BE7" s="207"/>
      <c r="BF7" s="207"/>
      <c r="BG7" s="207"/>
      <c r="BH7" s="207"/>
      <c r="BI7" s="207"/>
      <c r="BJ7" s="207"/>
      <c r="BK7" s="207"/>
      <c r="BL7" s="207"/>
      <c r="BM7" s="207"/>
      <c r="BN7" s="207"/>
      <c r="BO7" s="207"/>
      <c r="BP7" s="207"/>
      <c r="BQ7" s="207"/>
      <c r="BR7" s="207"/>
      <c r="BS7" s="207"/>
      <c r="BT7" s="207"/>
      <c r="BU7" s="207"/>
      <c r="BV7" s="207"/>
      <c r="BW7" s="207"/>
      <c r="BX7" s="207"/>
      <c r="BY7" s="207"/>
      <c r="BZ7" s="207"/>
      <c r="CA7" s="207"/>
      <c r="CB7" s="207"/>
      <c r="CC7" s="207"/>
      <c r="CD7" s="207"/>
      <c r="CE7" s="207"/>
      <c r="CF7" s="207"/>
      <c r="CG7" s="207"/>
      <c r="CH7" s="207"/>
      <c r="CI7" s="207"/>
      <c r="CJ7" s="207"/>
      <c r="CK7" s="207"/>
      <c r="CL7" s="170"/>
    </row>
    <row r="8" spans="1:90" ht="20" customHeight="1" x14ac:dyDescent="0.2">
      <c r="B8" s="168"/>
      <c r="C8" s="184" t="str">
        <f t="shared" ref="C8:F8" si="5">HYPERLINK("#Dashboard!dashboard_grad_summary", "Mean gradient")</f>
        <v>Mean gradient</v>
      </c>
      <c r="D8" s="184"/>
      <c r="E8" s="184"/>
      <c r="F8" s="184"/>
      <c r="G8" s="207"/>
      <c r="H8" s="207"/>
      <c r="I8" s="170"/>
      <c r="K8" s="168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170"/>
      <c r="AN8" s="177" t="s">
        <v>165</v>
      </c>
      <c r="AO8" s="207"/>
      <c r="AP8" s="210" t="s">
        <v>219</v>
      </c>
      <c r="AQ8" s="207"/>
      <c r="AR8" s="207"/>
      <c r="AS8" s="207"/>
      <c r="AT8" s="210" t="s">
        <v>221</v>
      </c>
      <c r="AU8" s="207"/>
      <c r="AV8" s="207"/>
      <c r="AW8" s="207"/>
      <c r="AX8" s="210" t="s">
        <v>223</v>
      </c>
      <c r="AY8" s="207"/>
      <c r="AZ8" s="207"/>
      <c r="BA8" s="207"/>
      <c r="BB8" s="210" t="s">
        <v>225</v>
      </c>
      <c r="BC8" s="207"/>
      <c r="BD8" s="207"/>
      <c r="BE8" s="207"/>
      <c r="BF8" s="210" t="s">
        <v>227</v>
      </c>
      <c r="BG8" s="207"/>
      <c r="BH8" s="207"/>
      <c r="BI8" s="207"/>
      <c r="BJ8" s="210" t="s">
        <v>229</v>
      </c>
      <c r="BK8" s="207"/>
      <c r="BL8" s="207"/>
      <c r="BM8" s="207"/>
      <c r="BN8" s="210" t="s">
        <v>231</v>
      </c>
      <c r="BO8" s="207"/>
      <c r="BP8" s="207"/>
      <c r="BQ8" s="207"/>
      <c r="BR8" s="210" t="s">
        <v>169</v>
      </c>
      <c r="BS8" s="207"/>
      <c r="BT8" s="207"/>
      <c r="BU8" s="207"/>
      <c r="BV8" s="210" t="s">
        <v>171</v>
      </c>
      <c r="BW8" s="207"/>
      <c r="BX8" s="207"/>
      <c r="BY8" s="207"/>
      <c r="BZ8" s="210" t="s">
        <v>173</v>
      </c>
      <c r="CA8" s="207"/>
      <c r="CB8" s="207"/>
      <c r="CC8" s="207"/>
      <c r="CD8" s="210" t="s">
        <v>175</v>
      </c>
      <c r="CE8" s="207"/>
      <c r="CF8" s="207"/>
      <c r="CG8" s="207"/>
      <c r="CH8" s="210" t="s">
        <v>177</v>
      </c>
      <c r="CI8" s="207"/>
      <c r="CJ8" s="207"/>
      <c r="CK8" s="207"/>
      <c r="CL8" s="170"/>
    </row>
    <row r="9" spans="1:90" ht="20" customHeight="1" x14ac:dyDescent="0.2">
      <c r="B9" s="168"/>
      <c r="C9" s="207"/>
      <c r="D9" s="207"/>
      <c r="E9" s="207"/>
      <c r="F9" s="207"/>
      <c r="G9" s="207"/>
      <c r="H9" s="207"/>
      <c r="I9" s="170"/>
      <c r="K9" s="168"/>
      <c r="L9" s="207"/>
      <c r="M9" s="207"/>
      <c r="N9" s="207"/>
      <c r="O9" s="207"/>
      <c r="P9" s="207"/>
      <c r="Q9" s="207"/>
      <c r="R9" s="207"/>
      <c r="S9" s="207"/>
      <c r="T9" s="207"/>
      <c r="U9" s="207"/>
      <c r="V9" s="207"/>
      <c r="W9" s="207"/>
      <c r="X9" s="207"/>
      <c r="Y9" s="207"/>
      <c r="Z9" s="207"/>
      <c r="AA9" s="207"/>
      <c r="AB9" s="207"/>
      <c r="AC9" s="207"/>
      <c r="AD9" s="207"/>
      <c r="AE9" s="207"/>
      <c r="AF9" s="207"/>
      <c r="AG9" s="207"/>
      <c r="AH9" s="170"/>
      <c r="AN9" s="178" t="s">
        <v>117</v>
      </c>
      <c r="AO9" s="207"/>
      <c r="AP9" s="174" cm="1">
        <f t="array" ref="AP9:AR18">Blueprint!G_11</f>
        <v>0</v>
      </c>
      <c r="AQ9" s="174">
        <v>0</v>
      </c>
      <c r="AR9" s="174">
        <v>0</v>
      </c>
      <c r="AS9" s="207"/>
      <c r="AT9" s="174" cm="1">
        <f t="array" ref="AT9:AV18">Blueprint!G_10</f>
        <v>7.5941862909791019E-2</v>
      </c>
      <c r="AU9" s="174">
        <v>6.5432054204215634E-2</v>
      </c>
      <c r="AV9" s="174">
        <v>5.9701832195283001E-2</v>
      </c>
      <c r="AW9" s="207"/>
      <c r="AX9" s="174" cm="1">
        <f t="array" ref="AX9:AZ18">Blueprint!G_9</f>
        <v>1.9346228791903938E-2</v>
      </c>
      <c r="AY9" s="174">
        <v>1.1558453139022243E-2</v>
      </c>
      <c r="AZ9" s="174">
        <v>1.6284735135263982E-2</v>
      </c>
      <c r="BA9" s="207"/>
      <c r="BB9" s="174" cm="1">
        <f t="array" ref="BB9:BD16">Blueprint!G_8</f>
        <v>0.29088839034961478</v>
      </c>
      <c r="BC9" s="174">
        <v>0.9663923144731108</v>
      </c>
      <c r="BD9" s="174">
        <v>1.0339843511131532</v>
      </c>
      <c r="BE9" s="207"/>
      <c r="BF9" s="174" cm="1">
        <f t="array" ref="BF9:BH16">Blueprint!G_7</f>
        <v>0.15071853010967823</v>
      </c>
      <c r="BG9" s="174">
        <v>0.4831961572365554</v>
      </c>
      <c r="BH9" s="174">
        <v>0.52657912574495569</v>
      </c>
      <c r="BI9" s="207"/>
      <c r="BJ9" s="174" cm="1">
        <f t="array" ref="BJ9:BL16">Blueprint!G_6</f>
        <v>0.15071853010967823</v>
      </c>
      <c r="BK9" s="174">
        <v>0</v>
      </c>
      <c r="BL9" s="174">
        <v>0.52657912574495569</v>
      </c>
      <c r="BM9" s="207"/>
      <c r="BN9" s="174" cm="1">
        <f t="array" ref="BN9:BP16">Blueprint!G_5</f>
        <v>0.15058231998856489</v>
      </c>
      <c r="BO9" s="174">
        <v>0</v>
      </c>
      <c r="BP9" s="174">
        <v>0.52645374629477404</v>
      </c>
      <c r="BQ9" s="207"/>
      <c r="BR9" s="174" cm="1">
        <f t="array" ref="BR9:BT18">Blueprint!G_4</f>
        <v>-8.6390004318553898E-2</v>
      </c>
      <c r="BS9" s="174">
        <v>3.4218300649240578E-2</v>
      </c>
      <c r="BT9" s="174">
        <v>-9.0132616273557759E-2</v>
      </c>
      <c r="BU9" s="207"/>
      <c r="BV9" s="174" cm="1">
        <f t="array" ref="BV9:BX18">Blueprint!G_3</f>
        <v>-7.5957732346854656E-2</v>
      </c>
      <c r="BW9" s="174">
        <v>2.5384148309127955E-2</v>
      </c>
      <c r="BX9" s="174">
        <v>-4.5810211442549133E-2</v>
      </c>
      <c r="BY9" s="207"/>
      <c r="BZ9" s="174" cm="1">
        <f t="array" ref="BZ9:CB12">Blueprint!G_2</f>
        <v>0.17112703771564258</v>
      </c>
      <c r="CA9" s="174">
        <v>0.10667755567222373</v>
      </c>
      <c r="CB9" s="174">
        <v>0.2077073081969863</v>
      </c>
      <c r="CC9" s="207"/>
      <c r="CD9" s="174" cm="1">
        <f t="array" ref="CD9:CF12">Blueprint!G_1</f>
        <v>0.15626581548326157</v>
      </c>
      <c r="CE9" s="174">
        <v>0.10661241629149511</v>
      </c>
      <c r="CF9" s="174">
        <v>0.20749147442344082</v>
      </c>
      <c r="CG9" s="207"/>
      <c r="CH9" s="174" cm="1">
        <f t="array" ref="CH9:CJ12">Blueprint!G_0</f>
        <v>0.1233872276439755</v>
      </c>
      <c r="CI9" s="174">
        <v>5.0063558455003106E-2</v>
      </c>
      <c r="CJ9" s="174">
        <v>4.0850085524921239E-4</v>
      </c>
      <c r="CK9" s="207"/>
      <c r="CL9" s="170"/>
    </row>
    <row r="10" spans="1:90" ht="20" customHeight="1" x14ac:dyDescent="0.2">
      <c r="B10" s="168"/>
      <c r="C10" s="207"/>
      <c r="D10" s="207"/>
      <c r="E10" s="207"/>
      <c r="F10" s="207"/>
      <c r="G10" s="207"/>
      <c r="H10" s="207"/>
      <c r="I10" s="170"/>
      <c r="K10" s="168"/>
      <c r="L10" s="207"/>
      <c r="M10" s="207"/>
      <c r="N10" s="207"/>
      <c r="O10" s="207"/>
      <c r="P10" s="207"/>
      <c r="Q10" s="207"/>
      <c r="R10" s="207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7"/>
      <c r="AF10" s="207"/>
      <c r="AG10" s="207"/>
      <c r="AH10" s="170"/>
      <c r="AN10" s="178" t="s">
        <v>117</v>
      </c>
      <c r="AO10" s="207"/>
      <c r="AP10" s="175">
        <v>0</v>
      </c>
      <c r="AQ10" s="175">
        <v>0</v>
      </c>
      <c r="AR10" s="175">
        <v>0</v>
      </c>
      <c r="AS10" s="207"/>
      <c r="AT10" s="175">
        <v>0.16320456842272099</v>
      </c>
      <c r="AU10" s="175">
        <v>0.16468132849153158</v>
      </c>
      <c r="AV10" s="175">
        <v>0.15424272672852535</v>
      </c>
      <c r="AW10" s="207"/>
      <c r="AX10" s="175">
        <v>0.16090115874249133</v>
      </c>
      <c r="AY10" s="175">
        <v>0.17244516091025533</v>
      </c>
      <c r="AZ10" s="175">
        <v>0.1642736891557707</v>
      </c>
      <c r="BA10" s="207"/>
      <c r="BB10" s="175">
        <v>6.1623101251301285E-2</v>
      </c>
      <c r="BC10" s="175">
        <v>0.64566756401189518</v>
      </c>
      <c r="BD10" s="175">
        <v>0.70944982053373706</v>
      </c>
      <c r="BE10" s="207"/>
      <c r="BF10" s="175">
        <v>3.6679939374012586E-2</v>
      </c>
      <c r="BG10" s="175">
        <v>0.63733384811817706</v>
      </c>
      <c r="BH10" s="175">
        <v>0.73407332293940619</v>
      </c>
      <c r="BI10" s="207"/>
      <c r="BJ10" s="175">
        <v>3.6679939374012586E-2</v>
      </c>
      <c r="BK10" s="175">
        <v>0.63733384811817706</v>
      </c>
      <c r="BL10" s="175">
        <v>0.73407332293940619</v>
      </c>
      <c r="BM10" s="207"/>
      <c r="BN10" s="175">
        <v>3.5815671703040078E-2</v>
      </c>
      <c r="BO10" s="175">
        <v>0.24426857082055703</v>
      </c>
      <c r="BP10" s="175">
        <v>0.15509679351667111</v>
      </c>
      <c r="BQ10" s="207"/>
      <c r="BR10" s="175">
        <v>-0.11846294372984485</v>
      </c>
      <c r="BS10" s="175">
        <v>0.17890338225775781</v>
      </c>
      <c r="BT10" s="175">
        <v>-0.23360683388484521</v>
      </c>
      <c r="BU10" s="207"/>
      <c r="BV10" s="175">
        <v>-7.2645779003699992E-2</v>
      </c>
      <c r="BW10" s="175">
        <v>2.8829325143130653E-2</v>
      </c>
      <c r="BX10" s="175">
        <v>-2.5194686328556769E-2</v>
      </c>
      <c r="BY10" s="207"/>
      <c r="BZ10" s="175">
        <v>0.27730586698478588</v>
      </c>
      <c r="CA10" s="175">
        <v>0.23442587033036744</v>
      </c>
      <c r="CB10" s="175">
        <v>0.56485787935528187</v>
      </c>
      <c r="CC10" s="207"/>
      <c r="CD10" s="175">
        <v>0.27702977403755769</v>
      </c>
      <c r="CE10" s="175">
        <v>0.2333135153319327</v>
      </c>
      <c r="CF10" s="175">
        <v>0.55078970375779546</v>
      </c>
      <c r="CG10" s="207"/>
      <c r="CH10" s="175">
        <v>5.1480485196506881E-4</v>
      </c>
      <c r="CI10" s="175">
        <v>2.7383413222555153E-3</v>
      </c>
      <c r="CJ10" s="175">
        <v>0.36716996710159222</v>
      </c>
      <c r="CK10" s="207"/>
      <c r="CL10" s="170"/>
    </row>
    <row r="11" spans="1:90" ht="20" customHeight="1" x14ac:dyDescent="0.2">
      <c r="B11" s="169"/>
      <c r="C11" s="166"/>
      <c r="D11" s="166"/>
      <c r="E11" s="166"/>
      <c r="F11" s="166"/>
      <c r="G11" s="166"/>
      <c r="H11" s="166"/>
      <c r="I11" s="171"/>
      <c r="K11" s="168"/>
      <c r="L11" s="207"/>
      <c r="M11" s="207"/>
      <c r="N11" s="207"/>
      <c r="O11" s="207"/>
      <c r="P11" s="207"/>
      <c r="Q11" s="207"/>
      <c r="R11" s="207"/>
      <c r="S11" s="207"/>
      <c r="T11" s="207"/>
      <c r="U11" s="207"/>
      <c r="V11" s="207"/>
      <c r="W11" s="207"/>
      <c r="X11" s="207"/>
      <c r="Y11" s="207"/>
      <c r="Z11" s="207"/>
      <c r="AA11" s="207"/>
      <c r="AB11" s="207"/>
      <c r="AC11" s="207"/>
      <c r="AD11" s="207"/>
      <c r="AE11" s="207"/>
      <c r="AF11" s="207"/>
      <c r="AG11" s="207"/>
      <c r="AH11" s="170"/>
      <c r="AN11" s="178" t="s">
        <v>117</v>
      </c>
      <c r="AO11" s="207"/>
      <c r="AP11" s="175">
        <v>0</v>
      </c>
      <c r="AQ11" s="175">
        <v>0</v>
      </c>
      <c r="AR11" s="175">
        <v>0</v>
      </c>
      <c r="AS11" s="207"/>
      <c r="AT11" s="175">
        <v>7.4632037210897811E-2</v>
      </c>
      <c r="AU11" s="175">
        <v>7.8783268740925755E-2</v>
      </c>
      <c r="AV11" s="175">
        <v>8.1159981888911284E-2</v>
      </c>
      <c r="AW11" s="207"/>
      <c r="AX11" s="175">
        <v>1.3178995063145422E-2</v>
      </c>
      <c r="AY11" s="175">
        <v>4.091329518183514E-2</v>
      </c>
      <c r="AZ11" s="175">
        <v>5.4312458582427538E-2</v>
      </c>
      <c r="BA11" s="207"/>
      <c r="BB11" s="175">
        <v>6.6301196822843134E-2</v>
      </c>
      <c r="BC11" s="175">
        <v>2.8103363920456953E-2</v>
      </c>
      <c r="BD11" s="175">
        <v>8.34107937335547E-2</v>
      </c>
      <c r="BE11" s="207"/>
      <c r="BF11" s="175">
        <v>3.3150598411421567E-2</v>
      </c>
      <c r="BG11" s="175">
        <v>1.8586215107636608E-2</v>
      </c>
      <c r="BH11" s="175">
        <v>6.0311007645541911E-2</v>
      </c>
      <c r="BI11" s="207"/>
      <c r="BJ11" s="175">
        <v>0</v>
      </c>
      <c r="BK11" s="175">
        <v>1.8586215107636608E-2</v>
      </c>
      <c r="BL11" s="175">
        <v>6.0311007645541911E-2</v>
      </c>
      <c r="BM11" s="207"/>
      <c r="BN11" s="175">
        <v>0</v>
      </c>
      <c r="BO11" s="175">
        <v>1.7373098445324021E-2</v>
      </c>
      <c r="BP11" s="175">
        <v>5.2956303445872106E-2</v>
      </c>
      <c r="BQ11" s="207"/>
      <c r="BR11" s="175">
        <v>5.1859870757953314E-2</v>
      </c>
      <c r="BS11" s="175">
        <v>0.10970770160791281</v>
      </c>
      <c r="BT11" s="175">
        <v>0.11583911663606181</v>
      </c>
      <c r="BU11" s="207"/>
      <c r="BV11" s="175">
        <v>4.5266930926208759E-2</v>
      </c>
      <c r="BW11" s="175">
        <v>7.4302106712577462E-2</v>
      </c>
      <c r="BX11" s="175">
        <v>6.9107712548940783E-2</v>
      </c>
      <c r="BY11" s="207"/>
      <c r="BZ11" s="175">
        <v>-0.21366627000583654</v>
      </c>
      <c r="CA11" s="175">
        <v>-0.35969155252037666</v>
      </c>
      <c r="CB11" s="175">
        <v>-0.60843426554970959</v>
      </c>
      <c r="CC11" s="207"/>
      <c r="CD11" s="175">
        <v>-0.21329185834081246</v>
      </c>
      <c r="CE11" s="175">
        <v>-0.35861836964847021</v>
      </c>
      <c r="CF11" s="175">
        <v>-0.5916441637577845</v>
      </c>
      <c r="CG11" s="207"/>
      <c r="CH11" s="175">
        <v>-9.5414387030403822E-2</v>
      </c>
      <c r="CI11" s="175">
        <v>-2.5146506129745659E-3</v>
      </c>
      <c r="CJ11" s="175">
        <v>-0.11323000263413495</v>
      </c>
      <c r="CK11" s="207"/>
      <c r="CL11" s="170"/>
    </row>
    <row r="12" spans="1:90" ht="20" customHeight="1" x14ac:dyDescent="0.2">
      <c r="K12" s="168"/>
      <c r="L12" s="207"/>
      <c r="M12" s="207"/>
      <c r="N12" s="207"/>
      <c r="O12" s="207"/>
      <c r="P12" s="207"/>
      <c r="Q12" s="207"/>
      <c r="R12" s="207"/>
      <c r="S12" s="207"/>
      <c r="T12" s="207"/>
      <c r="U12" s="207"/>
      <c r="V12" s="207"/>
      <c r="W12" s="207"/>
      <c r="X12" s="207"/>
      <c r="Y12" s="207"/>
      <c r="Z12" s="207"/>
      <c r="AA12" s="207"/>
      <c r="AB12" s="207"/>
      <c r="AC12" s="207"/>
      <c r="AD12" s="207"/>
      <c r="AE12" s="207"/>
      <c r="AF12" s="207"/>
      <c r="AG12" s="207"/>
      <c r="AH12" s="170"/>
      <c r="AN12" s="168"/>
      <c r="AO12" s="207"/>
      <c r="AP12" s="175">
        <v>0</v>
      </c>
      <c r="AQ12" s="175">
        <v>0</v>
      </c>
      <c r="AR12" s="175">
        <v>0</v>
      </c>
      <c r="AS12" s="207"/>
      <c r="AT12" s="175">
        <v>0.11838157802587884</v>
      </c>
      <c r="AU12" s="175">
        <v>8.0712750457118662E-2</v>
      </c>
      <c r="AV12" s="175">
        <v>6.4500041896805402E-2</v>
      </c>
      <c r="AW12" s="207"/>
      <c r="AX12" s="175">
        <v>9.239620458279843E-2</v>
      </c>
      <c r="AY12" s="175">
        <v>4.4125413653079766E-2</v>
      </c>
      <c r="AZ12" s="175">
        <v>2.65437704186249E-2</v>
      </c>
      <c r="BA12" s="207"/>
      <c r="BB12" s="175">
        <v>-4.565640671217687E-2</v>
      </c>
      <c r="BC12" s="175">
        <v>-0.362302558069445</v>
      </c>
      <c r="BD12" s="175">
        <v>-0.39469570151206801</v>
      </c>
      <c r="BE12" s="207"/>
      <c r="BF12" s="175">
        <v>-2.4667466615144282E-2</v>
      </c>
      <c r="BG12" s="175">
        <v>-0.19903913092763445</v>
      </c>
      <c r="BH12" s="175">
        <v>-0.197347850756034</v>
      </c>
      <c r="BI12" s="207"/>
      <c r="BJ12" s="175">
        <v>-2.4667466615144282E-2</v>
      </c>
      <c r="BK12" s="175">
        <v>-0.19903913092763445</v>
      </c>
      <c r="BL12" s="175">
        <v>0</v>
      </c>
      <c r="BM12" s="207"/>
      <c r="BN12" s="175">
        <v>-2.4559370066991631E-2</v>
      </c>
      <c r="BO12" s="175">
        <v>-0.19773805418802096</v>
      </c>
      <c r="BP12" s="175">
        <v>0</v>
      </c>
      <c r="BQ12" s="207"/>
      <c r="BR12" s="175">
        <v>-9.2863812536282314E-2</v>
      </c>
      <c r="BS12" s="175">
        <v>7.9280431051919148E-2</v>
      </c>
      <c r="BT12" s="175">
        <v>-0.20792444543043026</v>
      </c>
      <c r="BU12" s="207"/>
      <c r="BV12" s="175">
        <v>-7.2789455508651985E-2</v>
      </c>
      <c r="BW12" s="175">
        <v>1.81043825870538E-2</v>
      </c>
      <c r="BX12" s="175">
        <v>-5.5510574147629825E-2</v>
      </c>
      <c r="BY12" s="207"/>
      <c r="BZ12" s="176">
        <v>-5.2491335551240109E-2</v>
      </c>
      <c r="CA12" s="176">
        <v>4.8897799512743104E-2</v>
      </c>
      <c r="CB12" s="176">
        <v>1.96927195638118E-2</v>
      </c>
      <c r="CC12" s="207"/>
      <c r="CD12" s="176">
        <v>-5.246460895974718E-2</v>
      </c>
      <c r="CE12" s="176">
        <v>2.6917479215723003E-2</v>
      </c>
      <c r="CF12" s="176">
        <v>4.8733870894875526E-3</v>
      </c>
      <c r="CG12" s="207"/>
      <c r="CH12" s="176">
        <v>-2.4778914052463366E-2</v>
      </c>
      <c r="CI12" s="176">
        <v>2.8735495986903861E-2</v>
      </c>
      <c r="CJ12" s="176">
        <v>5.5748388475868422E-3</v>
      </c>
      <c r="CK12" s="207"/>
      <c r="CL12" s="170"/>
    </row>
    <row r="13" spans="1:90" ht="20" customHeight="1" x14ac:dyDescent="0.2">
      <c r="K13" s="168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170"/>
      <c r="AN13" s="168"/>
      <c r="AO13" s="207"/>
      <c r="AP13" s="175">
        <v>0</v>
      </c>
      <c r="AQ13" s="175">
        <v>0</v>
      </c>
      <c r="AR13" s="175">
        <v>0</v>
      </c>
      <c r="AS13" s="207"/>
      <c r="AT13" s="175">
        <v>7.6463551429062138E-2</v>
      </c>
      <c r="AU13" s="175">
        <v>6.9926500327114505E-2</v>
      </c>
      <c r="AV13" s="175">
        <v>6.4684315067309914E-2</v>
      </c>
      <c r="AW13" s="207"/>
      <c r="AX13" s="175">
        <v>2.0876179376025199E-2</v>
      </c>
      <c r="AY13" s="175">
        <v>2.4981014287351905E-2</v>
      </c>
      <c r="AZ13" s="175">
        <v>2.6884046259089016E-2</v>
      </c>
      <c r="BA13" s="207"/>
      <c r="BB13" s="175">
        <v>7.1369965183164491E-2</v>
      </c>
      <c r="BC13" s="175">
        <v>1.540763874430362E-3</v>
      </c>
      <c r="BD13" s="175">
        <v>-4.9794259258767654E-2</v>
      </c>
      <c r="BE13" s="207"/>
      <c r="BF13" s="175">
        <v>3.5684982591582246E-2</v>
      </c>
      <c r="BG13" s="175">
        <v>7.70381937215181E-4</v>
      </c>
      <c r="BH13" s="175">
        <v>-2.4897129629383827E-2</v>
      </c>
      <c r="BI13" s="207"/>
      <c r="BJ13" s="175">
        <v>0</v>
      </c>
      <c r="BK13" s="175">
        <v>0</v>
      </c>
      <c r="BL13" s="175">
        <v>0</v>
      </c>
      <c r="BM13" s="207"/>
      <c r="BN13" s="175">
        <v>0</v>
      </c>
      <c r="BO13" s="175">
        <v>0</v>
      </c>
      <c r="BP13" s="175">
        <v>0</v>
      </c>
      <c r="BQ13" s="207"/>
      <c r="BR13" s="175">
        <v>-8.5036333079238691E-2</v>
      </c>
      <c r="BS13" s="175">
        <v>-0.31567297961873425</v>
      </c>
      <c r="BT13" s="175">
        <v>-0.33898484909250187</v>
      </c>
      <c r="BU13" s="207"/>
      <c r="BV13" s="175">
        <v>-3.8905788261923167E-2</v>
      </c>
      <c r="BW13" s="175">
        <v>-0.22484676886408286</v>
      </c>
      <c r="BX13" s="175">
        <v>-0.30116921250729273</v>
      </c>
      <c r="BY13" s="207"/>
      <c r="BZ13" s="210" t="s">
        <v>174</v>
      </c>
      <c r="CA13" s="207"/>
      <c r="CB13" s="207"/>
      <c r="CC13" s="207"/>
      <c r="CD13" s="210" t="s">
        <v>176</v>
      </c>
      <c r="CE13" s="207"/>
      <c r="CF13" s="207"/>
      <c r="CG13" s="207"/>
      <c r="CH13" s="210" t="s">
        <v>178</v>
      </c>
      <c r="CI13" s="207"/>
      <c r="CJ13" s="207"/>
      <c r="CK13" s="207"/>
      <c r="CL13" s="170"/>
    </row>
    <row r="14" spans="1:90" ht="20" customHeight="1" x14ac:dyDescent="0.2">
      <c r="K14" s="168"/>
      <c r="L14" s="207"/>
      <c r="M14" s="207"/>
      <c r="N14" s="207"/>
      <c r="O14" s="207"/>
      <c r="P14" s="207"/>
      <c r="Q14" s="207"/>
      <c r="R14" s="207"/>
      <c r="S14" s="207"/>
      <c r="T14" s="207"/>
      <c r="U14" s="207"/>
      <c r="V14" s="207"/>
      <c r="W14" s="207"/>
      <c r="X14" s="207"/>
      <c r="Y14" s="207"/>
      <c r="Z14" s="207"/>
      <c r="AA14" s="207"/>
      <c r="AB14" s="207"/>
      <c r="AC14" s="207"/>
      <c r="AD14" s="207"/>
      <c r="AE14" s="207"/>
      <c r="AF14" s="207"/>
      <c r="AG14" s="207"/>
      <c r="AH14" s="170"/>
      <c r="AN14" s="168"/>
      <c r="AO14" s="207"/>
      <c r="AP14" s="175">
        <v>-12.802503947947789</v>
      </c>
      <c r="AQ14" s="175">
        <v>0</v>
      </c>
      <c r="AR14" s="175">
        <v>0</v>
      </c>
      <c r="AS14" s="207"/>
      <c r="AT14" s="175">
        <v>-0.92189027989635597</v>
      </c>
      <c r="AU14" s="175">
        <v>6.6005572499071852E-2</v>
      </c>
      <c r="AV14" s="175">
        <v>5.824492170877843E-2</v>
      </c>
      <c r="AW14" s="207"/>
      <c r="AX14" s="175">
        <v>-4.1470264849409244E-2</v>
      </c>
      <c r="AY14" s="175">
        <v>6.6786843668544069E-3</v>
      </c>
      <c r="AZ14" s="175">
        <v>9.7045615583182948E-3</v>
      </c>
      <c r="BA14" s="207"/>
      <c r="BB14" s="175">
        <v>-3.3286681632377565E-2</v>
      </c>
      <c r="BC14" s="175">
        <v>0.2742701649889917</v>
      </c>
      <c r="BD14" s="175">
        <v>0.22465459799186638</v>
      </c>
      <c r="BE14" s="207"/>
      <c r="BF14" s="175">
        <v>-3.535040926851292E-2</v>
      </c>
      <c r="BG14" s="175">
        <v>0.23914563894224738</v>
      </c>
      <c r="BH14" s="175">
        <v>0.14236940003225163</v>
      </c>
      <c r="BI14" s="207"/>
      <c r="BJ14" s="175">
        <v>-3.535040926851292E-2</v>
      </c>
      <c r="BK14" s="175">
        <v>0.23914563894224738</v>
      </c>
      <c r="BL14" s="175">
        <v>0.14236940003225163</v>
      </c>
      <c r="BM14" s="207"/>
      <c r="BN14" s="175">
        <v>-2.9702955957198172E-3</v>
      </c>
      <c r="BO14" s="175">
        <v>0.15853850253312615</v>
      </c>
      <c r="BP14" s="175">
        <v>0.13589984883905232</v>
      </c>
      <c r="BQ14" s="207"/>
      <c r="BR14" s="175">
        <v>-0.18310006282484875</v>
      </c>
      <c r="BS14" s="175">
        <v>-0.33216854177002869</v>
      </c>
      <c r="BT14" s="175">
        <v>-0.66220953916340408</v>
      </c>
      <c r="BU14" s="207"/>
      <c r="BV14" s="175">
        <v>-0.11714369184280631</v>
      </c>
      <c r="BW14" s="175">
        <v>-0.15547287569628301</v>
      </c>
      <c r="BX14" s="175">
        <v>-0.21056327400494207</v>
      </c>
      <c r="BY14" s="207"/>
      <c r="BZ14" s="174" cm="1">
        <f t="array" ref="BZ14:CB17">Blueprint_ep1!G_2</f>
        <v>-9.2096926257998826E-3</v>
      </c>
      <c r="CA14" s="174">
        <v>0.1080059069476373</v>
      </c>
      <c r="CB14" s="174">
        <v>8.1085141523145984E-2</v>
      </c>
      <c r="CC14" s="207"/>
      <c r="CD14" s="174" cm="1">
        <f t="array" ref="CD14:CF17">Blueprint_ep1!G_1</f>
        <v>-8.5619980732434941E-3</v>
      </c>
      <c r="CE14" s="174">
        <v>0.10785107908286158</v>
      </c>
      <c r="CF14" s="174">
        <v>8.1001467834615259E-2</v>
      </c>
      <c r="CG14" s="207"/>
      <c r="CH14" s="174" cm="1">
        <f t="array" ref="CH14:CJ17">Blueprint_ep1!G_0</f>
        <v>-6.5433467087222218E-3</v>
      </c>
      <c r="CI14" s="174">
        <v>4.8815857202712885E-2</v>
      </c>
      <c r="CJ14" s="174">
        <v>1.5799029738502353E-4</v>
      </c>
      <c r="CK14" s="207"/>
      <c r="CL14" s="170"/>
    </row>
    <row r="15" spans="1:90" ht="20" customHeight="1" x14ac:dyDescent="0.2">
      <c r="K15" s="168"/>
      <c r="L15" s="207"/>
      <c r="M15" s="207"/>
      <c r="N15" s="207"/>
      <c r="O15" s="207"/>
      <c r="P15" s="207"/>
      <c r="Q15" s="207"/>
      <c r="R15" s="207"/>
      <c r="S15" s="207"/>
      <c r="T15" s="207"/>
      <c r="U15" s="207"/>
      <c r="V15" s="207"/>
      <c r="W15" s="207"/>
      <c r="X15" s="207"/>
      <c r="Y15" s="207"/>
      <c r="Z15" s="207"/>
      <c r="AA15" s="207"/>
      <c r="AB15" s="207"/>
      <c r="AC15" s="207"/>
      <c r="AD15" s="207"/>
      <c r="AE15" s="207"/>
      <c r="AF15" s="207"/>
      <c r="AG15" s="207"/>
      <c r="AH15" s="170"/>
      <c r="AN15" s="168"/>
      <c r="AO15" s="207"/>
      <c r="AP15" s="175">
        <v>0</v>
      </c>
      <c r="AQ15" s="175">
        <v>0</v>
      </c>
      <c r="AR15" s="175">
        <v>0</v>
      </c>
      <c r="AS15" s="207"/>
      <c r="AT15" s="175">
        <v>7.4580703242117977E-2</v>
      </c>
      <c r="AU15" s="175">
        <v>6.8241713113357555E-2</v>
      </c>
      <c r="AV15" s="175">
        <v>6.3162388491921961E-2</v>
      </c>
      <c r="AW15" s="207"/>
      <c r="AX15" s="175">
        <v>1.1804678933669594E-2</v>
      </c>
      <c r="AY15" s="175">
        <v>2.1333283254099271E-2</v>
      </c>
      <c r="AZ15" s="175">
        <v>2.4006476463483431E-2</v>
      </c>
      <c r="BA15" s="207"/>
      <c r="BB15" s="175">
        <v>-0.11805946412542166</v>
      </c>
      <c r="BC15" s="175">
        <v>0.31689710089759349</v>
      </c>
      <c r="BD15" s="175">
        <v>0.35446442676033446</v>
      </c>
      <c r="BE15" s="207"/>
      <c r="BF15" s="175">
        <v>-5.9029732062710831E-2</v>
      </c>
      <c r="BG15" s="175">
        <v>0.15844855044879674</v>
      </c>
      <c r="BH15" s="175">
        <v>0.17723221338016723</v>
      </c>
      <c r="BI15" s="207"/>
      <c r="BJ15" s="175">
        <v>0</v>
      </c>
      <c r="BK15" s="175">
        <v>0</v>
      </c>
      <c r="BL15" s="175">
        <v>0</v>
      </c>
      <c r="BM15" s="207"/>
      <c r="BN15" s="175">
        <v>0</v>
      </c>
      <c r="BO15" s="175">
        <v>0</v>
      </c>
      <c r="BP15" s="175">
        <v>0</v>
      </c>
      <c r="BQ15" s="207"/>
      <c r="BR15" s="175">
        <v>-1.9886447222021821E-3</v>
      </c>
      <c r="BS15" s="175">
        <v>1.7502479576199236E-2</v>
      </c>
      <c r="BT15" s="175">
        <v>-4.160785353407577E-2</v>
      </c>
      <c r="BU15" s="207"/>
      <c r="BV15" s="175">
        <v>-1.9862360371581751E-3</v>
      </c>
      <c r="BW15" s="175">
        <v>9.6899575994653254E-3</v>
      </c>
      <c r="BX15" s="175">
        <v>-2.0436800724994861E-2</v>
      </c>
      <c r="BY15" s="207"/>
      <c r="BZ15" s="175">
        <v>4.2626668953286507E-3</v>
      </c>
      <c r="CA15" s="175">
        <v>0.26531979493708119</v>
      </c>
      <c r="CB15" s="175">
        <v>0.28966814278383207</v>
      </c>
      <c r="CC15" s="207"/>
      <c r="CD15" s="175">
        <v>4.2582493570586877E-3</v>
      </c>
      <c r="CE15" s="175">
        <v>0.26420284192191767</v>
      </c>
      <c r="CF15" s="175">
        <v>0.28797283707367877</v>
      </c>
      <c r="CG15" s="207"/>
      <c r="CH15" s="175">
        <v>8.3532506777375292E-6</v>
      </c>
      <c r="CI15" s="175">
        <v>2.7169187658688402E-3</v>
      </c>
      <c r="CJ15" s="175">
        <v>0.16858652560902865</v>
      </c>
      <c r="CK15" s="207"/>
      <c r="CL15" s="170"/>
    </row>
    <row r="16" spans="1:90" ht="20" customHeight="1" x14ac:dyDescent="0.2">
      <c r="K16" s="168"/>
      <c r="L16" s="207"/>
      <c r="M16" s="207"/>
      <c r="N16" s="207"/>
      <c r="O16" s="207"/>
      <c r="P16" s="207"/>
      <c r="Q16" s="207"/>
      <c r="R16" s="207"/>
      <c r="S16" s="207"/>
      <c r="T16" s="207"/>
      <c r="U16" s="207"/>
      <c r="V16" s="207"/>
      <c r="W16" s="207"/>
      <c r="X16" s="207"/>
      <c r="Y16" s="207"/>
      <c r="Z16" s="207"/>
      <c r="AA16" s="207"/>
      <c r="AB16" s="207"/>
      <c r="AC16" s="207"/>
      <c r="AD16" s="207"/>
      <c r="AE16" s="207"/>
      <c r="AF16" s="207"/>
      <c r="AG16" s="207"/>
      <c r="AH16" s="170"/>
      <c r="AN16" s="168"/>
      <c r="AO16" s="207"/>
      <c r="AP16" s="175">
        <v>0</v>
      </c>
      <c r="AQ16" s="175">
        <v>0</v>
      </c>
      <c r="AR16" s="175">
        <v>0</v>
      </c>
      <c r="AS16" s="207"/>
      <c r="AT16" s="175">
        <v>8.5992825432593331E-2</v>
      </c>
      <c r="AU16" s="175">
        <v>6.5464159619288947E-2</v>
      </c>
      <c r="AV16" s="175">
        <v>5.8281905730460389E-2</v>
      </c>
      <c r="AW16" s="207"/>
      <c r="AX16" s="175">
        <v>4.0067007394860042E-2</v>
      </c>
      <c r="AY16" s="175">
        <v>1.1921503960524943E-2</v>
      </c>
      <c r="AZ16" s="175">
        <v>8.260990340731713E-3</v>
      </c>
      <c r="BA16" s="207"/>
      <c r="BB16" s="176">
        <v>-2.4907437383804042E-2</v>
      </c>
      <c r="BC16" s="176">
        <v>-0.34105637710386827</v>
      </c>
      <c r="BD16" s="176">
        <v>-0.33764918725585508</v>
      </c>
      <c r="BE16" s="207"/>
      <c r="BF16" s="176">
        <v>-2.2951587638130686E-2</v>
      </c>
      <c r="BG16" s="176">
        <v>-0.35095786384239008</v>
      </c>
      <c r="BH16" s="176">
        <v>-0.34069799720124089</v>
      </c>
      <c r="BI16" s="207"/>
      <c r="BJ16" s="176">
        <v>-2.2951587638130686E-2</v>
      </c>
      <c r="BK16" s="176">
        <v>-0.35095786384239008</v>
      </c>
      <c r="BL16" s="176">
        <v>-0.34069799720124089</v>
      </c>
      <c r="BM16" s="207"/>
      <c r="BN16" s="176">
        <v>-1.2838608711830875E-2</v>
      </c>
      <c r="BO16" s="176">
        <v>-8.2335977176558009E-2</v>
      </c>
      <c r="BP16" s="176">
        <v>-0.10567043956580016</v>
      </c>
      <c r="BQ16" s="207"/>
      <c r="BR16" s="175">
        <v>-0.10384976116800704</v>
      </c>
      <c r="BS16" s="175">
        <v>-0.10307432929407502</v>
      </c>
      <c r="BT16" s="175">
        <v>-0.3965115235967519</v>
      </c>
      <c r="BU16" s="207"/>
      <c r="BV16" s="175">
        <v>-9.2980525717700185E-2</v>
      </c>
      <c r="BW16" s="175">
        <v>-6.5955726925904429E-2</v>
      </c>
      <c r="BX16" s="175">
        <v>-0.22954450611439042</v>
      </c>
      <c r="BY16" s="207"/>
      <c r="BZ16" s="175">
        <v>3.9731172064264832E-2</v>
      </c>
      <c r="CA16" s="175">
        <v>-0.45077285265694567</v>
      </c>
      <c r="CB16" s="175">
        <v>-0.31758646231956911</v>
      </c>
      <c r="CC16" s="207"/>
      <c r="CD16" s="175">
        <v>3.9692537927527978E-2</v>
      </c>
      <c r="CE16" s="175">
        <v>-0.44933645235433961</v>
      </c>
      <c r="CF16" s="175">
        <v>-0.30903137463328589</v>
      </c>
      <c r="CG16" s="207"/>
      <c r="CH16" s="175">
        <v>1.8310616856870139E-2</v>
      </c>
      <c r="CI16" s="175">
        <v>-3.3916766587062035E-3</v>
      </c>
      <c r="CJ16" s="175">
        <v>-6.3040414283850599E-2</v>
      </c>
      <c r="CK16" s="207"/>
      <c r="CL16" s="170"/>
    </row>
    <row r="17" spans="11:90" ht="20" customHeight="1" x14ac:dyDescent="0.2">
      <c r="K17" s="168"/>
      <c r="L17" s="207"/>
      <c r="M17" s="207"/>
      <c r="N17" s="207"/>
      <c r="O17" s="207"/>
      <c r="P17" s="207"/>
      <c r="Q17" s="207"/>
      <c r="R17" s="207"/>
      <c r="S17" s="207"/>
      <c r="T17" s="207"/>
      <c r="U17" s="207"/>
      <c r="V17" s="207"/>
      <c r="W17" s="207"/>
      <c r="X17" s="207"/>
      <c r="Y17" s="207"/>
      <c r="Z17" s="207"/>
      <c r="AA17" s="207"/>
      <c r="AB17" s="207"/>
      <c r="AC17" s="207"/>
      <c r="AD17" s="207"/>
      <c r="AE17" s="207"/>
      <c r="AF17" s="207"/>
      <c r="AG17" s="207"/>
      <c r="AH17" s="170"/>
      <c r="AN17" s="168"/>
      <c r="AO17" s="207"/>
      <c r="AP17" s="175">
        <v>0</v>
      </c>
      <c r="AQ17" s="175">
        <v>-8.8986380211966498</v>
      </c>
      <c r="AR17" s="175">
        <v>-9.2123688749620793</v>
      </c>
      <c r="AS17" s="207"/>
      <c r="AT17" s="175">
        <v>0.11993991743174374</v>
      </c>
      <c r="AU17" s="175">
        <v>-0.88762325227546168</v>
      </c>
      <c r="AV17" s="175">
        <v>-0.89145028672073057</v>
      </c>
      <c r="AW17" s="207"/>
      <c r="AX17" s="175">
        <v>9.4838749882171822E-2</v>
      </c>
      <c r="AY17" s="175">
        <v>-0.74571900958392645</v>
      </c>
      <c r="AZ17" s="175">
        <v>-0.79778502879346891</v>
      </c>
      <c r="BA17" s="207"/>
      <c r="BB17" s="210" t="s">
        <v>226</v>
      </c>
      <c r="BC17" s="207"/>
      <c r="BD17" s="207"/>
      <c r="BE17" s="207"/>
      <c r="BF17" s="210" t="s">
        <v>228</v>
      </c>
      <c r="BG17" s="207"/>
      <c r="BH17" s="207"/>
      <c r="BI17" s="207"/>
      <c r="BJ17" s="210" t="s">
        <v>230</v>
      </c>
      <c r="BK17" s="207"/>
      <c r="BL17" s="207"/>
      <c r="BM17" s="207"/>
      <c r="BN17" s="210" t="s">
        <v>232</v>
      </c>
      <c r="BO17" s="207"/>
      <c r="BP17" s="207"/>
      <c r="BQ17" s="207"/>
      <c r="BR17" s="175">
        <v>0.14900038425713652</v>
      </c>
      <c r="BS17" s="175">
        <v>0.40285153298742604</v>
      </c>
      <c r="BT17" s="175">
        <v>0.6675818383535731</v>
      </c>
      <c r="BU17" s="207"/>
      <c r="BV17" s="175">
        <v>0.14109966722605652</v>
      </c>
      <c r="BW17" s="175">
        <v>0.31910628761551335</v>
      </c>
      <c r="BX17" s="175">
        <v>0.49823232614938551</v>
      </c>
      <c r="BY17" s="207"/>
      <c r="BZ17" s="176">
        <v>3.0566323196999708E-2</v>
      </c>
      <c r="CA17" s="176">
        <v>-4.266858290653372E-2</v>
      </c>
      <c r="CB17" s="176">
        <v>4.7145589468293447E-2</v>
      </c>
      <c r="CC17" s="207"/>
      <c r="CD17" s="176">
        <v>3.0553922504173683E-2</v>
      </c>
      <c r="CE17" s="176">
        <v>-2.3850256253193678E-2</v>
      </c>
      <c r="CF17" s="176">
        <v>1.1790887137625708E-2</v>
      </c>
      <c r="CG17" s="207"/>
      <c r="CH17" s="176">
        <v>1.4523590917447132E-2</v>
      </c>
      <c r="CI17" s="176">
        <v>-2.5369962607835448E-2</v>
      </c>
      <c r="CJ17" s="176">
        <v>1.3487766523829039E-2</v>
      </c>
      <c r="CK17" s="207"/>
      <c r="CL17" s="170"/>
    </row>
    <row r="18" spans="11:90" ht="20" customHeight="1" x14ac:dyDescent="0.2">
      <c r="K18" s="168"/>
      <c r="L18" s="207"/>
      <c r="M18" s="207"/>
      <c r="N18" s="207"/>
      <c r="O18" s="207"/>
      <c r="P18" s="207"/>
      <c r="Q18" s="207"/>
      <c r="R18" s="207"/>
      <c r="S18" s="207"/>
      <c r="T18" s="207"/>
      <c r="U18" s="207"/>
      <c r="V18" s="207"/>
      <c r="W18" s="207"/>
      <c r="X18" s="207"/>
      <c r="Y18" s="207"/>
      <c r="Z18" s="207"/>
      <c r="AA18" s="207"/>
      <c r="AB18" s="207"/>
      <c r="AC18" s="207"/>
      <c r="AD18" s="207"/>
      <c r="AE18" s="207"/>
      <c r="AF18" s="207"/>
      <c r="AG18" s="207"/>
      <c r="AH18" s="170"/>
      <c r="AN18" s="168"/>
      <c r="AO18" s="207"/>
      <c r="AP18" s="176">
        <v>0</v>
      </c>
      <c r="AQ18" s="176">
        <v>0</v>
      </c>
      <c r="AR18" s="176">
        <v>0</v>
      </c>
      <c r="AS18" s="207"/>
      <c r="AT18" s="176">
        <v>0.13275323579155018</v>
      </c>
      <c r="AU18" s="176">
        <v>0.22837590482283729</v>
      </c>
      <c r="AV18" s="176">
        <v>0.2874721730127347</v>
      </c>
      <c r="AW18" s="207"/>
      <c r="AX18" s="176">
        <v>0.11477259862269647</v>
      </c>
      <c r="AY18" s="176">
        <v>0.25775253346261329</v>
      </c>
      <c r="AZ18" s="176">
        <v>0.32828407738402821</v>
      </c>
      <c r="BA18" s="207"/>
      <c r="BB18" s="174" cm="1">
        <f t="array" ref="BB18:BD25">Blueprint_ep1!G_8</f>
        <v>0.15720322630671626</v>
      </c>
      <c r="BC18" s="174">
        <v>0.98184251766776975</v>
      </c>
      <c r="BD18" s="174">
        <v>1.0335634155785172</v>
      </c>
      <c r="BE18" s="207"/>
      <c r="BF18" s="174" cm="1">
        <f t="array" ref="BF18:BH25">Blueprint_ep1!G_7</f>
        <v>7.8601613153358132E-2</v>
      </c>
      <c r="BG18" s="174">
        <v>0.49092125883388488</v>
      </c>
      <c r="BH18" s="174">
        <v>0.51678170778925858</v>
      </c>
      <c r="BI18" s="207"/>
      <c r="BJ18" s="174" cm="1">
        <f t="array" ref="BJ18:BL25">Blueprint_ep1!G_6</f>
        <v>0</v>
      </c>
      <c r="BK18" s="174">
        <v>0</v>
      </c>
      <c r="BL18" s="174">
        <v>0</v>
      </c>
      <c r="BM18" s="207"/>
      <c r="BN18" s="174" cm="1">
        <f t="array" ref="BN18:BP25">Blueprint_ep1!G_5</f>
        <v>0</v>
      </c>
      <c r="BO18" s="174">
        <v>0</v>
      </c>
      <c r="BP18" s="174">
        <v>0</v>
      </c>
      <c r="BQ18" s="207"/>
      <c r="BR18" s="176">
        <v>0.18428808689119686</v>
      </c>
      <c r="BS18" s="176">
        <v>0.12063265191962094</v>
      </c>
      <c r="BT18" s="176">
        <v>0.51148911037872802</v>
      </c>
      <c r="BU18" s="207"/>
      <c r="BV18" s="176">
        <v>0.14764650194776405</v>
      </c>
      <c r="BW18" s="176">
        <v>0.11765235427299009</v>
      </c>
      <c r="BX18" s="176">
        <v>0.44254541379137674</v>
      </c>
      <c r="BY18" s="207"/>
      <c r="BZ18" s="207"/>
      <c r="CA18" s="207"/>
      <c r="CB18" s="207"/>
      <c r="CC18" s="207"/>
      <c r="CD18" s="207"/>
      <c r="CE18" s="207"/>
      <c r="CF18" s="207"/>
      <c r="CG18" s="207"/>
      <c r="CH18" s="207"/>
      <c r="CI18" s="207"/>
      <c r="CJ18" s="207"/>
      <c r="CK18" s="207"/>
      <c r="CL18" s="170"/>
    </row>
    <row r="19" spans="11:90" ht="20" customHeight="1" x14ac:dyDescent="0.2">
      <c r="K19" s="168"/>
      <c r="L19" s="207"/>
      <c r="M19" s="207"/>
      <c r="N19" s="207"/>
      <c r="O19" s="207"/>
      <c r="P19" s="207"/>
      <c r="Q19" s="207"/>
      <c r="R19" s="207"/>
      <c r="S19" s="207"/>
      <c r="T19" s="207"/>
      <c r="U19" s="207"/>
      <c r="V19" s="207"/>
      <c r="W19" s="207"/>
      <c r="X19" s="207"/>
      <c r="Y19" s="207"/>
      <c r="Z19" s="207"/>
      <c r="AA19" s="207"/>
      <c r="AB19" s="207"/>
      <c r="AC19" s="207"/>
      <c r="AD19" s="207"/>
      <c r="AE19" s="207"/>
      <c r="AF19" s="207"/>
      <c r="AG19" s="207"/>
      <c r="AH19" s="170"/>
      <c r="AN19" s="168"/>
      <c r="AO19" s="207"/>
      <c r="AP19" s="210" t="s">
        <v>220</v>
      </c>
      <c r="AQ19" s="207"/>
      <c r="AR19" s="207"/>
      <c r="AS19" s="207"/>
      <c r="AT19" s="210" t="s">
        <v>222</v>
      </c>
      <c r="AU19" s="207"/>
      <c r="AV19" s="207"/>
      <c r="AW19" s="207"/>
      <c r="AX19" s="210" t="s">
        <v>224</v>
      </c>
      <c r="AY19" s="207"/>
      <c r="AZ19" s="207"/>
      <c r="BA19" s="207"/>
      <c r="BB19" s="175">
        <v>-1.2631056158157031E-2</v>
      </c>
      <c r="BC19" s="175">
        <v>0.54258809955804288</v>
      </c>
      <c r="BD19" s="175">
        <v>0.58940919236434763</v>
      </c>
      <c r="BE19" s="207"/>
      <c r="BF19" s="175">
        <v>-6.3155280790785154E-3</v>
      </c>
      <c r="BG19" s="175">
        <v>0.48016715506370505</v>
      </c>
      <c r="BH19" s="175">
        <v>0.57053231331690935</v>
      </c>
      <c r="BI19" s="207"/>
      <c r="BJ19" s="175">
        <v>0</v>
      </c>
      <c r="BK19" s="175">
        <v>0.48016715506370505</v>
      </c>
      <c r="BL19" s="175">
        <v>0.57053231331690935</v>
      </c>
      <c r="BM19" s="207"/>
      <c r="BN19" s="175">
        <v>0</v>
      </c>
      <c r="BO19" s="175">
        <v>0.30617967711585659</v>
      </c>
      <c r="BP19" s="175">
        <v>0.25123269545579463</v>
      </c>
      <c r="BQ19" s="207"/>
      <c r="BR19" s="210" t="s">
        <v>170</v>
      </c>
      <c r="BS19" s="207"/>
      <c r="BT19" s="207"/>
      <c r="BU19" s="207"/>
      <c r="BV19" s="210" t="s">
        <v>172</v>
      </c>
      <c r="BW19" s="207"/>
      <c r="BX19" s="207"/>
      <c r="BY19" s="207"/>
      <c r="BZ19" s="207"/>
      <c r="CA19" s="207"/>
      <c r="CB19" s="207"/>
      <c r="CC19" s="207"/>
      <c r="CD19" s="207"/>
      <c r="CE19" s="207"/>
      <c r="CF19" s="207"/>
      <c r="CG19" s="207"/>
      <c r="CH19" s="207"/>
      <c r="CI19" s="207"/>
      <c r="CJ19" s="207"/>
      <c r="CK19" s="207"/>
      <c r="CL19" s="170"/>
    </row>
    <row r="20" spans="11:90" ht="20" customHeight="1" x14ac:dyDescent="0.2">
      <c r="K20" s="169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  <c r="AG20" s="166"/>
      <c r="AH20" s="171"/>
      <c r="AN20" s="168"/>
      <c r="AO20" s="207"/>
      <c r="AP20" s="174" cm="1">
        <f t="array" ref="AP20:AR29">Blueprint_ep1!G_11</f>
        <v>0</v>
      </c>
      <c r="AQ20" s="174">
        <v>0</v>
      </c>
      <c r="AR20" s="174">
        <v>0</v>
      </c>
      <c r="AS20" s="207"/>
      <c r="AT20" s="174" cm="1">
        <f t="array" ref="AT20:AV29">Blueprint_ep1!G_10</f>
        <v>7.5354521220142842E-2</v>
      </c>
      <c r="AU20" s="174">
        <v>6.6168263806247685E-2</v>
      </c>
      <c r="AV20" s="174">
        <v>6.221675723487162E-2</v>
      </c>
      <c r="AW20" s="207"/>
      <c r="AX20" s="174" cm="1">
        <f t="array" ref="AX20:AZ29">Blueprint_ep1!G_9</f>
        <v>1.7080781828840527E-2</v>
      </c>
      <c r="AY20" s="174">
        <v>1.4089534313912518E-2</v>
      </c>
      <c r="AZ20" s="174">
        <v>1.9060050660874999E-2</v>
      </c>
      <c r="BA20" s="207"/>
      <c r="BB20" s="175">
        <v>8.6254414569154753E-2</v>
      </c>
      <c r="BC20" s="175">
        <v>-5.1993198200970425E-2</v>
      </c>
      <c r="BD20" s="175">
        <v>-3.5481284548965764E-3</v>
      </c>
      <c r="BE20" s="207"/>
      <c r="BF20" s="175">
        <v>4.3127207284577376E-2</v>
      </c>
      <c r="BG20" s="175">
        <v>-3.3913923922671688E-2</v>
      </c>
      <c r="BH20" s="175">
        <v>-2.5017019100186128E-3</v>
      </c>
      <c r="BI20" s="207"/>
      <c r="BJ20" s="175">
        <v>0</v>
      </c>
      <c r="BK20" s="175">
        <v>-3.3913923922671688E-2</v>
      </c>
      <c r="BL20" s="175">
        <v>-2.5017019100186128E-3</v>
      </c>
      <c r="BM20" s="207"/>
      <c r="BN20" s="175">
        <v>0</v>
      </c>
      <c r="BO20" s="175">
        <v>-3.193406722994669E-2</v>
      </c>
      <c r="BP20" s="175">
        <v>-2.2424131902084887E-3</v>
      </c>
      <c r="BQ20" s="207"/>
      <c r="BR20" s="174" cm="1">
        <f t="array" ref="BR20:BT29">Blueprint_ep1!G_4</f>
        <v>-1.1841265956177034E-2</v>
      </c>
      <c r="BS20" s="174">
        <v>3.8900278000025365E-2</v>
      </c>
      <c r="BT20" s="174">
        <v>7.2257373908868466E-3</v>
      </c>
      <c r="BU20" s="207"/>
      <c r="BV20" s="174" cm="1">
        <f t="array" ref="BV20:BX29">Blueprint_ep1!G_3</f>
        <v>-1.0592221807124311E-2</v>
      </c>
      <c r="BW20" s="174">
        <v>2.936624374229533E-2</v>
      </c>
      <c r="BX20" s="174">
        <v>4.0929222681902865E-3</v>
      </c>
      <c r="BY20" s="207"/>
      <c r="BZ20" s="207"/>
      <c r="CA20" s="207"/>
      <c r="CB20" s="207"/>
      <c r="CC20" s="207"/>
      <c r="CD20" s="207"/>
      <c r="CE20" s="207"/>
      <c r="CF20" s="207"/>
      <c r="CG20" s="207"/>
      <c r="CH20" s="207"/>
      <c r="CI20" s="207"/>
      <c r="CJ20" s="207"/>
      <c r="CK20" s="207"/>
      <c r="CL20" s="170"/>
    </row>
    <row r="21" spans="11:90" ht="20" customHeight="1" x14ac:dyDescent="0.2">
      <c r="AN21" s="168"/>
      <c r="AO21" s="207"/>
      <c r="AP21" s="175">
        <v>0</v>
      </c>
      <c r="AQ21" s="175">
        <v>0</v>
      </c>
      <c r="AR21" s="175">
        <v>0</v>
      </c>
      <c r="AS21" s="207"/>
      <c r="AT21" s="175">
        <v>0.13475679809557481</v>
      </c>
      <c r="AU21" s="175">
        <v>0.13131081135725625</v>
      </c>
      <c r="AV21" s="175">
        <v>0.12126590767760737</v>
      </c>
      <c r="AW21" s="207"/>
      <c r="AX21" s="175">
        <v>0.11778651615478312</v>
      </c>
      <c r="AY21" s="175">
        <v>0.12300563117284451</v>
      </c>
      <c r="AZ21" s="175">
        <v>0.11466818717102423</v>
      </c>
      <c r="BA21" s="207"/>
      <c r="BB21" s="175">
        <v>7.0173707190310901E-3</v>
      </c>
      <c r="BC21" s="175">
        <v>-0.39926042642054921</v>
      </c>
      <c r="BD21" s="175">
        <v>-0.43921386985443978</v>
      </c>
      <c r="BE21" s="207"/>
      <c r="BF21" s="175">
        <v>4.7966266576419019E-3</v>
      </c>
      <c r="BG21" s="175">
        <v>-0.2879975069020127</v>
      </c>
      <c r="BH21" s="175">
        <v>-0.24372978992640526</v>
      </c>
      <c r="BI21" s="207"/>
      <c r="BJ21" s="175">
        <v>4.7966266576419019E-3</v>
      </c>
      <c r="BK21" s="175">
        <v>-0.2879975069020127</v>
      </c>
      <c r="BL21" s="175">
        <v>-0.24372978992640526</v>
      </c>
      <c r="BM21" s="207"/>
      <c r="BN21" s="175">
        <v>4.3953173777159307E-3</v>
      </c>
      <c r="BO21" s="175">
        <v>-0.25340377191939956</v>
      </c>
      <c r="BP21" s="175">
        <v>-0.24176636926561687</v>
      </c>
      <c r="BQ21" s="207"/>
      <c r="BR21" s="175">
        <v>-1.3386301668157689E-2</v>
      </c>
      <c r="BS21" s="175">
        <v>0.21738756230315778</v>
      </c>
      <c r="BT21" s="175">
        <v>0.14611073450843831</v>
      </c>
      <c r="BU21" s="207"/>
      <c r="BV21" s="175">
        <v>-7.9122335224339289E-3</v>
      </c>
      <c r="BW21" s="175">
        <v>3.4043612098959702E-2</v>
      </c>
      <c r="BX21" s="175">
        <v>1.5380081209309285E-2</v>
      </c>
      <c r="BY21" s="207"/>
      <c r="BZ21" s="207"/>
      <c r="CA21" s="207"/>
      <c r="CB21" s="207"/>
      <c r="CC21" s="207"/>
      <c r="CD21" s="207"/>
      <c r="CE21" s="207"/>
      <c r="CF21" s="207"/>
      <c r="CG21" s="207"/>
      <c r="CH21" s="207"/>
      <c r="CI21" s="207"/>
      <c r="CJ21" s="207"/>
      <c r="CK21" s="207"/>
      <c r="CL21" s="170"/>
    </row>
    <row r="22" spans="11:90" ht="20" customHeight="1" x14ac:dyDescent="0.2">
      <c r="AN22" s="168"/>
      <c r="AO22" s="207"/>
      <c r="AP22" s="175">
        <v>0</v>
      </c>
      <c r="AQ22" s="175">
        <v>0</v>
      </c>
      <c r="AR22" s="175">
        <v>0</v>
      </c>
      <c r="AS22" s="207"/>
      <c r="AT22" s="175">
        <v>7.4698734487100946E-2</v>
      </c>
      <c r="AU22" s="175">
        <v>7.2890858947680756E-2</v>
      </c>
      <c r="AV22" s="175">
        <v>7.8561974444059282E-2</v>
      </c>
      <c r="AW22" s="207"/>
      <c r="AX22" s="175">
        <v>1.0625213807405111E-2</v>
      </c>
      <c r="AY22" s="175">
        <v>3.0078210038140232E-2</v>
      </c>
      <c r="AZ22" s="175">
        <v>4.8107531469917433E-2</v>
      </c>
      <c r="BA22" s="207"/>
      <c r="BB22" s="175">
        <v>4.8569542884161598E-2</v>
      </c>
      <c r="BC22" s="175">
        <v>-1.3339227060518571E-2</v>
      </c>
      <c r="BD22" s="175">
        <v>-6.4630171160416028E-2</v>
      </c>
      <c r="BE22" s="207"/>
      <c r="BF22" s="175">
        <v>2.4284771442080799E-2</v>
      </c>
      <c r="BG22" s="175">
        <v>-6.6696135302592857E-3</v>
      </c>
      <c r="BH22" s="175">
        <v>-3.2315085580208014E-2</v>
      </c>
      <c r="BI22" s="207"/>
      <c r="BJ22" s="175">
        <v>0</v>
      </c>
      <c r="BK22" s="175">
        <v>0</v>
      </c>
      <c r="BL22" s="175">
        <v>0</v>
      </c>
      <c r="BM22" s="207"/>
      <c r="BN22" s="175">
        <v>0</v>
      </c>
      <c r="BO22" s="175">
        <v>0</v>
      </c>
      <c r="BP22" s="175">
        <v>0</v>
      </c>
      <c r="BQ22" s="207"/>
      <c r="BR22" s="175">
        <v>1.005053200124835E-2</v>
      </c>
      <c r="BS22" s="175">
        <v>8.141169510036049E-2</v>
      </c>
      <c r="BT22" s="175">
        <v>0.10057306928650997</v>
      </c>
      <c r="BU22" s="207"/>
      <c r="BV22" s="175">
        <v>8.9847641553419001E-3</v>
      </c>
      <c r="BW22" s="175">
        <v>5.7671217983373151E-2</v>
      </c>
      <c r="BX22" s="175">
        <v>6.2217973025754388E-2</v>
      </c>
      <c r="BY22" s="207"/>
      <c r="BZ22" s="207"/>
      <c r="CA22" s="207"/>
      <c r="CB22" s="207"/>
      <c r="CC22" s="207"/>
      <c r="CD22" s="207"/>
      <c r="CE22" s="207"/>
      <c r="CF22" s="207"/>
      <c r="CG22" s="207"/>
      <c r="CH22" s="207"/>
      <c r="CI22" s="207"/>
      <c r="CJ22" s="207"/>
      <c r="CK22" s="207"/>
      <c r="CL22" s="170"/>
    </row>
    <row r="23" spans="11:90" ht="20" customHeight="1" x14ac:dyDescent="0.2">
      <c r="AN23" s="168"/>
      <c r="AO23" s="207"/>
      <c r="AP23" s="175">
        <v>0</v>
      </c>
      <c r="AQ23" s="175">
        <v>0</v>
      </c>
      <c r="AR23" s="175">
        <v>0</v>
      </c>
      <c r="AS23" s="207"/>
      <c r="AT23" s="175">
        <v>0.10589839065660261</v>
      </c>
      <c r="AU23" s="175">
        <v>7.276701344047766E-2</v>
      </c>
      <c r="AV23" s="175">
        <v>6.4843758923643205E-2</v>
      </c>
      <c r="AW23" s="207"/>
      <c r="AX23" s="175">
        <v>7.2598851529588199E-2</v>
      </c>
      <c r="AY23" s="175">
        <v>2.9848830846807207E-2</v>
      </c>
      <c r="AZ23" s="175">
        <v>2.4629729904746482E-2</v>
      </c>
      <c r="BA23" s="207"/>
      <c r="BB23" s="175">
        <v>-8.2162928580532951E-2</v>
      </c>
      <c r="BC23" s="175">
        <v>0.33180102855722104</v>
      </c>
      <c r="BD23" s="175">
        <v>0.26669764895040682</v>
      </c>
      <c r="BE23" s="207"/>
      <c r="BF23" s="175">
        <v>-8.6756292605036048E-2</v>
      </c>
      <c r="BG23" s="175">
        <v>0.26209125623118212</v>
      </c>
      <c r="BH23" s="175">
        <v>0.15258787863730183</v>
      </c>
      <c r="BI23" s="207"/>
      <c r="BJ23" s="175">
        <v>-8.6756292605036048E-2</v>
      </c>
      <c r="BK23" s="175">
        <v>0.26209125623118212</v>
      </c>
      <c r="BL23" s="175">
        <v>0.15258787863730183</v>
      </c>
      <c r="BM23" s="207"/>
      <c r="BN23" s="175">
        <v>-9.9725630259437162E-3</v>
      </c>
      <c r="BO23" s="175">
        <v>0.20874917810859261</v>
      </c>
      <c r="BP23" s="175">
        <v>0.1504931784196035</v>
      </c>
      <c r="BQ23" s="207"/>
      <c r="BR23" s="175">
        <v>2.924815768388221E-3</v>
      </c>
      <c r="BS23" s="175">
        <v>7.1658202440672253E-2</v>
      </c>
      <c r="BT23" s="175">
        <v>3.6809676003015795E-2</v>
      </c>
      <c r="BU23" s="207"/>
      <c r="BV23" s="175">
        <v>2.1890976888687065E-3</v>
      </c>
      <c r="BW23" s="175">
        <v>1.59631110571836E-2</v>
      </c>
      <c r="BX23" s="175">
        <v>8.6591211479953422E-3</v>
      </c>
      <c r="BY23" s="207"/>
      <c r="BZ23" s="207"/>
      <c r="CA23" s="207"/>
      <c r="CB23" s="207"/>
      <c r="CC23" s="207"/>
      <c r="CD23" s="207"/>
      <c r="CE23" s="207"/>
      <c r="CF23" s="207"/>
      <c r="CG23" s="207"/>
      <c r="CH23" s="207"/>
      <c r="CI23" s="207"/>
      <c r="CJ23" s="207"/>
      <c r="CK23" s="207"/>
      <c r="CL23" s="170"/>
    </row>
    <row r="24" spans="11:90" ht="20" customHeight="1" x14ac:dyDescent="0.2">
      <c r="AN24" s="168"/>
      <c r="AO24" s="207"/>
      <c r="AP24" s="175">
        <v>0</v>
      </c>
      <c r="AQ24" s="175">
        <v>0</v>
      </c>
      <c r="AR24" s="175">
        <v>0</v>
      </c>
      <c r="AS24" s="207"/>
      <c r="AT24" s="175">
        <v>7.5955843444930268E-2</v>
      </c>
      <c r="AU24" s="175">
        <v>6.9694832327308276E-2</v>
      </c>
      <c r="AV24" s="175">
        <v>6.4051546873067605E-2</v>
      </c>
      <c r="AW24" s="207"/>
      <c r="AX24" s="175">
        <v>1.9200472741756569E-2</v>
      </c>
      <c r="AY24" s="175">
        <v>2.3805304885074451E-2</v>
      </c>
      <c r="AZ24" s="175">
        <v>2.3054669608032048E-2</v>
      </c>
      <c r="BA24" s="207"/>
      <c r="BB24" s="175">
        <v>-0.14551993974688809</v>
      </c>
      <c r="BC24" s="175">
        <v>0.41184552477749031</v>
      </c>
      <c r="BD24" s="175">
        <v>0.44779694173570805</v>
      </c>
      <c r="BE24" s="207"/>
      <c r="BF24" s="175">
        <v>-7.2759969873444047E-2</v>
      </c>
      <c r="BG24" s="175">
        <v>0.20592276238874516</v>
      </c>
      <c r="BH24" s="175">
        <v>0.22389847086785403</v>
      </c>
      <c r="BI24" s="207"/>
      <c r="BJ24" s="175">
        <v>0</v>
      </c>
      <c r="BK24" s="175">
        <v>0</v>
      </c>
      <c r="BL24" s="175">
        <v>0</v>
      </c>
      <c r="BM24" s="207"/>
      <c r="BN24" s="175">
        <v>0</v>
      </c>
      <c r="BO24" s="175">
        <v>0</v>
      </c>
      <c r="BP24" s="175">
        <v>0</v>
      </c>
      <c r="BQ24" s="207"/>
      <c r="BR24" s="175">
        <v>7.878851159284354E-3</v>
      </c>
      <c r="BS24" s="175">
        <v>-0.35328716333423926</v>
      </c>
      <c r="BT24" s="175">
        <v>-0.33644472687407179</v>
      </c>
      <c r="BU24" s="207"/>
      <c r="BV24" s="175">
        <v>3.3298657310154561E-3</v>
      </c>
      <c r="BW24" s="175">
        <v>-0.22911647075337932</v>
      </c>
      <c r="BX24" s="175">
        <v>-0.26615436331797132</v>
      </c>
      <c r="BY24" s="207"/>
      <c r="BZ24" s="207"/>
      <c r="CA24" s="207"/>
      <c r="CB24" s="207"/>
      <c r="CC24" s="207"/>
      <c r="CD24" s="207"/>
      <c r="CE24" s="207"/>
      <c r="CF24" s="207"/>
      <c r="CG24" s="207"/>
      <c r="CH24" s="207"/>
      <c r="CI24" s="207"/>
      <c r="CJ24" s="207"/>
      <c r="CK24" s="207"/>
      <c r="CL24" s="170"/>
    </row>
    <row r="25" spans="11:90" ht="20" customHeight="1" x14ac:dyDescent="0.2">
      <c r="AN25" s="168"/>
      <c r="AO25" s="207"/>
      <c r="AP25" s="175">
        <v>-12.739632600019929</v>
      </c>
      <c r="AQ25" s="175">
        <v>0</v>
      </c>
      <c r="AR25" s="175">
        <v>0</v>
      </c>
      <c r="AS25" s="207"/>
      <c r="AT25" s="175">
        <v>-0.9215048006958666</v>
      </c>
      <c r="AU25" s="175">
        <v>6.6251536618417803E-2</v>
      </c>
      <c r="AV25" s="175">
        <v>5.9853468375976174E-2</v>
      </c>
      <c r="AW25" s="207"/>
      <c r="AX25" s="175">
        <v>-3.8093723563310568E-2</v>
      </c>
      <c r="AY25" s="175">
        <v>7.1062630623865168E-3</v>
      </c>
      <c r="AZ25" s="175">
        <v>8.3689644015068707E-3</v>
      </c>
      <c r="BA25" s="207"/>
      <c r="BB25" s="176">
        <v>2.9573370502707995E-2</v>
      </c>
      <c r="BC25" s="176">
        <v>-0.48879654780353954</v>
      </c>
      <c r="BD25" s="176">
        <v>-0.46523227119235033</v>
      </c>
      <c r="BE25" s="207"/>
      <c r="BF25" s="176">
        <v>2.8942100145713121E-2</v>
      </c>
      <c r="BG25" s="176">
        <v>-0.51321376701360133</v>
      </c>
      <c r="BH25" s="176">
        <v>-0.48618145628244341</v>
      </c>
      <c r="BI25" s="207"/>
      <c r="BJ25" s="176">
        <v>2.8942100145713121E-2</v>
      </c>
      <c r="BK25" s="176">
        <v>-0.51321376701360133</v>
      </c>
      <c r="BL25" s="176">
        <v>-0.48618145628244341</v>
      </c>
      <c r="BM25" s="207"/>
      <c r="BN25" s="176">
        <v>1.1841557383245251E-2</v>
      </c>
      <c r="BO25" s="176">
        <v>-7.37179019299639E-2</v>
      </c>
      <c r="BP25" s="176">
        <v>-8.0877512827741249E-2</v>
      </c>
      <c r="BQ25" s="207"/>
      <c r="BR25" s="175">
        <v>9.306132870075267E-3</v>
      </c>
      <c r="BS25" s="175">
        <v>-0.42599059601448491</v>
      </c>
      <c r="BT25" s="175">
        <v>-0.34879088242279355</v>
      </c>
      <c r="BU25" s="207"/>
      <c r="BV25" s="175">
        <v>6.2174191177613971E-3</v>
      </c>
      <c r="BW25" s="175">
        <v>-0.21580672032035914</v>
      </c>
      <c r="BX25" s="175">
        <v>-0.13696273792416572</v>
      </c>
      <c r="BY25" s="207"/>
      <c r="BZ25" s="207"/>
      <c r="CA25" s="207"/>
      <c r="CB25" s="207"/>
      <c r="CC25" s="207"/>
      <c r="CD25" s="207"/>
      <c r="CE25" s="207"/>
      <c r="CF25" s="207"/>
      <c r="CG25" s="207"/>
      <c r="CH25" s="207"/>
      <c r="CI25" s="207"/>
      <c r="CJ25" s="207"/>
      <c r="CK25" s="207"/>
      <c r="CL25" s="170"/>
    </row>
    <row r="26" spans="11:90" ht="20" customHeight="1" x14ac:dyDescent="0.2">
      <c r="AN26" s="168"/>
      <c r="AO26" s="207"/>
      <c r="AP26" s="175">
        <v>0</v>
      </c>
      <c r="AQ26" s="175">
        <v>0</v>
      </c>
      <c r="AR26" s="175">
        <v>0</v>
      </c>
      <c r="AS26" s="207"/>
      <c r="AT26" s="175">
        <v>7.5227596005776345E-2</v>
      </c>
      <c r="AU26" s="175">
        <v>6.5906398506944006E-2</v>
      </c>
      <c r="AV26" s="175">
        <v>6.1490522667687633E-2</v>
      </c>
      <c r="AW26" s="207"/>
      <c r="AX26" s="175">
        <v>7.981040042415375E-3</v>
      </c>
      <c r="AY26" s="175">
        <v>1.2558672651026257E-2</v>
      </c>
      <c r="AZ26" s="175">
        <v>1.7237851925157189E-2</v>
      </c>
      <c r="BA26" s="207"/>
      <c r="BB26" s="207"/>
      <c r="BC26" s="207"/>
      <c r="BD26" s="207"/>
      <c r="BE26" s="207"/>
      <c r="BF26" s="207"/>
      <c r="BG26" s="207"/>
      <c r="BH26" s="207"/>
      <c r="BI26" s="207"/>
      <c r="BJ26" s="207"/>
      <c r="BK26" s="207"/>
      <c r="BL26" s="207"/>
      <c r="BM26" s="207"/>
      <c r="BN26" s="207"/>
      <c r="BO26" s="207"/>
      <c r="BP26" s="207"/>
      <c r="BQ26" s="207"/>
      <c r="BR26" s="175">
        <v>1.4080492253526687E-2</v>
      </c>
      <c r="BS26" s="175">
        <v>2.2531058593327956E-2</v>
      </c>
      <c r="BT26" s="175">
        <v>-4.42776824112915E-3</v>
      </c>
      <c r="BU26" s="207"/>
      <c r="BV26" s="175">
        <v>1.4005897909880051E-2</v>
      </c>
      <c r="BW26" s="175">
        <v>1.2319777642054478E-2</v>
      </c>
      <c r="BX26" s="175">
        <v>-2.1859465315349469E-3</v>
      </c>
      <c r="BY26" s="207"/>
      <c r="BZ26" s="207"/>
      <c r="CA26" s="207"/>
      <c r="CB26" s="207"/>
      <c r="CC26" s="207"/>
      <c r="CD26" s="207"/>
      <c r="CE26" s="207"/>
      <c r="CF26" s="207"/>
      <c r="CG26" s="207"/>
      <c r="CH26" s="207"/>
      <c r="CI26" s="207"/>
      <c r="CJ26" s="207"/>
      <c r="CK26" s="207"/>
      <c r="CL26" s="170"/>
    </row>
    <row r="27" spans="11:90" ht="20" customHeight="1" x14ac:dyDescent="0.2">
      <c r="AN27" s="168"/>
      <c r="AO27" s="207"/>
      <c r="AP27" s="175">
        <v>0</v>
      </c>
      <c r="AQ27" s="175">
        <v>0</v>
      </c>
      <c r="AR27" s="175">
        <v>0</v>
      </c>
      <c r="AS27" s="207"/>
      <c r="AT27" s="175">
        <v>8.7862651503693379E-2</v>
      </c>
      <c r="AU27" s="175">
        <v>6.6509629918977756E-2</v>
      </c>
      <c r="AV27" s="175">
        <v>5.9820357576364891E-2</v>
      </c>
      <c r="AW27" s="207"/>
      <c r="AX27" s="175">
        <v>4.3195912342069362E-2</v>
      </c>
      <c r="AY27" s="175">
        <v>1.552104621193106E-2</v>
      </c>
      <c r="AZ27" s="175">
        <v>8.7727175713062742E-3</v>
      </c>
      <c r="BA27" s="207"/>
      <c r="BB27" s="207"/>
      <c r="BC27" s="207"/>
      <c r="BD27" s="207"/>
      <c r="BE27" s="207"/>
      <c r="BF27" s="207"/>
      <c r="BG27" s="207"/>
      <c r="BH27" s="207"/>
      <c r="BI27" s="207"/>
      <c r="BJ27" s="207"/>
      <c r="BK27" s="207"/>
      <c r="BL27" s="207"/>
      <c r="BM27" s="207"/>
      <c r="BN27" s="207"/>
      <c r="BO27" s="207"/>
      <c r="BP27" s="207"/>
      <c r="BQ27" s="207"/>
      <c r="BR27" s="175">
        <v>9.7550962723560453E-3</v>
      </c>
      <c r="BS27" s="175">
        <v>-0.11638098161556747</v>
      </c>
      <c r="BT27" s="175">
        <v>-0.13070858681826864</v>
      </c>
      <c r="BU27" s="207"/>
      <c r="BV27" s="175">
        <v>8.4308864880872254E-3</v>
      </c>
      <c r="BW27" s="175">
        <v>-6.9556020108242272E-2</v>
      </c>
      <c r="BX27" s="175">
        <v>-7.1117542300681222E-2</v>
      </c>
      <c r="BY27" s="207"/>
      <c r="BZ27" s="207"/>
      <c r="CA27" s="207"/>
      <c r="CB27" s="207"/>
      <c r="CC27" s="207"/>
      <c r="CD27" s="207"/>
      <c r="CE27" s="207"/>
      <c r="CF27" s="207"/>
      <c r="CG27" s="207"/>
      <c r="CH27" s="207"/>
      <c r="CI27" s="207"/>
      <c r="CJ27" s="207"/>
      <c r="CK27" s="207"/>
      <c r="CL27" s="170"/>
    </row>
    <row r="28" spans="11:90" ht="20" customHeight="1" x14ac:dyDescent="0.2">
      <c r="AN28" s="168"/>
      <c r="AO28" s="207"/>
      <c r="AP28" s="175">
        <v>0</v>
      </c>
      <c r="AQ28" s="175">
        <v>-5.1963666190024291</v>
      </c>
      <c r="AR28" s="175">
        <v>-5.63875320457434</v>
      </c>
      <c r="AS28" s="207"/>
      <c r="AT28" s="175">
        <v>0.17441990258260648</v>
      </c>
      <c r="AU28" s="175">
        <v>-0.80755784313925594</v>
      </c>
      <c r="AV28" s="175">
        <v>-0.82265583122368824</v>
      </c>
      <c r="AW28" s="207"/>
      <c r="AX28" s="175">
        <v>0.17731013762261938</v>
      </c>
      <c r="AY28" s="175">
        <v>-0.8838777159386807</v>
      </c>
      <c r="AZ28" s="175">
        <v>-0.90317499003125346</v>
      </c>
      <c r="BA28" s="207"/>
      <c r="BB28" s="207"/>
      <c r="BC28" s="207"/>
      <c r="BD28" s="207"/>
      <c r="BE28" s="207"/>
      <c r="BF28" s="207"/>
      <c r="BG28" s="207"/>
      <c r="BH28" s="207"/>
      <c r="BI28" s="207"/>
      <c r="BJ28" s="207"/>
      <c r="BK28" s="207"/>
      <c r="BL28" s="207"/>
      <c r="BM28" s="207"/>
      <c r="BN28" s="207"/>
      <c r="BO28" s="207"/>
      <c r="BP28" s="207"/>
      <c r="BQ28" s="207"/>
      <c r="BR28" s="175">
        <v>-1.8511234201150799E-2</v>
      </c>
      <c r="BS28" s="175">
        <v>0.55716368785443426</v>
      </c>
      <c r="BT28" s="175">
        <v>0.4321275002618965</v>
      </c>
      <c r="BU28" s="207"/>
      <c r="BV28" s="175">
        <v>-1.8326051203792767E-2</v>
      </c>
      <c r="BW28" s="175">
        <v>0.37987210265717203</v>
      </c>
      <c r="BX28" s="175">
        <v>0.27422348496166793</v>
      </c>
      <c r="BY28" s="207"/>
      <c r="BZ28" s="207"/>
      <c r="CA28" s="207"/>
      <c r="CB28" s="207"/>
      <c r="CC28" s="207"/>
      <c r="CD28" s="207"/>
      <c r="CE28" s="207"/>
      <c r="CF28" s="207"/>
      <c r="CG28" s="207"/>
      <c r="CH28" s="207"/>
      <c r="CI28" s="207"/>
      <c r="CJ28" s="207"/>
      <c r="CK28" s="207"/>
      <c r="CL28" s="170"/>
    </row>
    <row r="29" spans="11:90" ht="20" customHeight="1" x14ac:dyDescent="0.2">
      <c r="AN29" s="168"/>
      <c r="AO29" s="207"/>
      <c r="AP29" s="176">
        <v>0</v>
      </c>
      <c r="AQ29" s="176">
        <v>0</v>
      </c>
      <c r="AR29" s="176">
        <v>0</v>
      </c>
      <c r="AS29" s="207"/>
      <c r="AT29" s="176">
        <v>0.11733036269943874</v>
      </c>
      <c r="AU29" s="176">
        <v>0.19605849821594568</v>
      </c>
      <c r="AV29" s="176">
        <v>0.25055153745041037</v>
      </c>
      <c r="AW29" s="207"/>
      <c r="AX29" s="176">
        <v>9.0665414045344533E-2</v>
      </c>
      <c r="AY29" s="176">
        <v>0.21549882495713665</v>
      </c>
      <c r="AZ29" s="176">
        <v>0.28637880210683458</v>
      </c>
      <c r="BA29" s="207"/>
      <c r="BB29" s="207"/>
      <c r="BC29" s="207"/>
      <c r="BD29" s="207"/>
      <c r="BE29" s="207"/>
      <c r="BF29" s="207"/>
      <c r="BG29" s="207"/>
      <c r="BH29" s="207"/>
      <c r="BI29" s="207"/>
      <c r="BJ29" s="207"/>
      <c r="BK29" s="207"/>
      <c r="BL29" s="207"/>
      <c r="BM29" s="207"/>
      <c r="BN29" s="207"/>
      <c r="BO29" s="207"/>
      <c r="BP29" s="207"/>
      <c r="BQ29" s="207"/>
      <c r="BR29" s="176">
        <v>-4.3270716752927575E-3</v>
      </c>
      <c r="BS29" s="176">
        <v>0.11686374321190462</v>
      </c>
      <c r="BT29" s="176">
        <v>0.15658328271849131</v>
      </c>
      <c r="BU29" s="207"/>
      <c r="BV29" s="176">
        <v>-3.3234273960515768E-3</v>
      </c>
      <c r="BW29" s="176">
        <v>0.11637246748541845</v>
      </c>
      <c r="BX29" s="176">
        <v>0.14868855160120628</v>
      </c>
      <c r="BY29" s="207"/>
      <c r="BZ29" s="207"/>
      <c r="CA29" s="207"/>
      <c r="CB29" s="207"/>
      <c r="CC29" s="207"/>
      <c r="CD29" s="207"/>
      <c r="CE29" s="207"/>
      <c r="CF29" s="207"/>
      <c r="CG29" s="207"/>
      <c r="CH29" s="207"/>
      <c r="CI29" s="207"/>
      <c r="CJ29" s="207"/>
      <c r="CK29" s="207"/>
      <c r="CL29" s="170"/>
    </row>
    <row r="30" spans="11:90" ht="20" customHeight="1" x14ac:dyDescent="0.2">
      <c r="AN30" s="168"/>
      <c r="AO30" s="207"/>
      <c r="AP30" s="207"/>
      <c r="AQ30" s="207"/>
      <c r="AR30" s="207"/>
      <c r="AS30" s="207"/>
      <c r="AT30" s="207"/>
      <c r="AU30" s="207"/>
      <c r="AV30" s="207"/>
      <c r="AW30" s="207"/>
      <c r="AX30" s="207"/>
      <c r="AY30" s="207"/>
      <c r="AZ30" s="207"/>
      <c r="BA30" s="207"/>
      <c r="BB30" s="207"/>
      <c r="BC30" s="207"/>
      <c r="BD30" s="207"/>
      <c r="BE30" s="207"/>
      <c r="BF30" s="207"/>
      <c r="BG30" s="207"/>
      <c r="BH30" s="207"/>
      <c r="BI30" s="207"/>
      <c r="BJ30" s="207"/>
      <c r="BK30" s="207"/>
      <c r="BL30" s="207"/>
      <c r="BM30" s="207"/>
      <c r="BN30" s="207"/>
      <c r="BO30" s="207"/>
      <c r="BP30" s="207"/>
      <c r="BQ30" s="207"/>
      <c r="BR30" s="207"/>
      <c r="BS30" s="207"/>
      <c r="BT30" s="207"/>
      <c r="BU30" s="207"/>
      <c r="BV30" s="207"/>
      <c r="BW30" s="207"/>
      <c r="BX30" s="207"/>
      <c r="BY30" s="207"/>
      <c r="BZ30" s="207"/>
      <c r="CA30" s="207"/>
      <c r="CB30" s="207"/>
      <c r="CC30" s="207"/>
      <c r="CD30" s="207"/>
      <c r="CE30" s="207"/>
      <c r="CF30" s="207"/>
      <c r="CG30" s="207"/>
      <c r="CH30" s="207"/>
      <c r="CI30" s="207"/>
      <c r="CJ30" s="207"/>
      <c r="CK30" s="207"/>
      <c r="CL30" s="170"/>
    </row>
    <row r="31" spans="11:90" ht="20" customHeight="1" x14ac:dyDescent="0.2">
      <c r="AN31" s="169"/>
      <c r="AO31" s="166"/>
      <c r="AP31" s="166"/>
      <c r="AQ31" s="166"/>
      <c r="AR31" s="166"/>
      <c r="AS31" s="166"/>
      <c r="AT31" s="166"/>
      <c r="AU31" s="166"/>
      <c r="AV31" s="166"/>
      <c r="AW31" s="166"/>
      <c r="AX31" s="166"/>
      <c r="AY31" s="166"/>
      <c r="AZ31" s="166"/>
      <c r="BA31" s="166"/>
      <c r="BB31" s="166"/>
      <c r="BC31" s="166"/>
      <c r="BD31" s="166"/>
      <c r="BE31" s="166"/>
      <c r="BF31" s="166"/>
      <c r="BG31" s="166"/>
      <c r="BH31" s="166"/>
      <c r="BI31" s="166"/>
      <c r="BJ31" s="166"/>
      <c r="BK31" s="166"/>
      <c r="BL31" s="166"/>
      <c r="BM31" s="166"/>
      <c r="BN31" s="166"/>
      <c r="BO31" s="166"/>
      <c r="BP31" s="166"/>
      <c r="BQ31" s="166"/>
      <c r="BR31" s="166"/>
      <c r="BS31" s="166"/>
      <c r="BT31" s="166"/>
      <c r="BU31" s="166"/>
      <c r="BV31" s="166"/>
      <c r="BW31" s="166"/>
      <c r="BX31" s="166"/>
      <c r="BY31" s="166"/>
      <c r="BZ31" s="166"/>
      <c r="CA31" s="166"/>
      <c r="CB31" s="166"/>
      <c r="CC31" s="166"/>
      <c r="CD31" s="166"/>
      <c r="CE31" s="166"/>
      <c r="CF31" s="166"/>
      <c r="CG31" s="166"/>
      <c r="CH31" s="166"/>
      <c r="CI31" s="166"/>
      <c r="CJ31" s="166"/>
      <c r="CK31" s="166"/>
      <c r="CL31" s="171"/>
    </row>
    <row r="36" spans="11:77" ht="20" customHeight="1" x14ac:dyDescent="0.2">
      <c r="K36" s="172"/>
      <c r="L36" s="182" t="s">
        <v>143</v>
      </c>
      <c r="M36" s="182"/>
      <c r="N36" s="182"/>
      <c r="O36" s="182"/>
      <c r="P36" s="182"/>
      <c r="Q36" s="182"/>
      <c r="R36" s="182"/>
      <c r="S36" s="182"/>
      <c r="T36" s="182"/>
      <c r="U36" s="182"/>
      <c r="V36" s="182"/>
      <c r="W36" s="182"/>
      <c r="X36" s="182"/>
      <c r="Y36" s="182"/>
      <c r="Z36" s="182"/>
      <c r="AA36" s="182"/>
      <c r="AB36" s="182"/>
      <c r="AC36" s="182"/>
      <c r="AD36" s="182"/>
      <c r="AE36" s="182"/>
      <c r="AF36" s="182"/>
      <c r="AG36" s="182"/>
      <c r="AH36" s="182"/>
      <c r="AI36" s="182"/>
      <c r="AJ36" s="182"/>
      <c r="AK36" s="182"/>
      <c r="AL36" s="182"/>
      <c r="AM36" s="182"/>
      <c r="AN36" s="182"/>
      <c r="AO36" s="182"/>
      <c r="AP36" s="182"/>
      <c r="AQ36" s="182"/>
      <c r="AR36" s="182"/>
      <c r="AS36" s="182"/>
      <c r="AT36" s="182"/>
      <c r="AU36" s="182"/>
      <c r="AV36" s="185" t="str">
        <f t="shared" ref="AV36:AW36" si="6">HYPERLINK("#Dashboard!dashboard_list", "↩ List")</f>
        <v>↩ List</v>
      </c>
      <c r="AW36" s="185"/>
      <c r="AX36" s="173"/>
      <c r="BC36" s="172"/>
      <c r="BD36" s="182" t="s">
        <v>191</v>
      </c>
      <c r="BE36" s="182"/>
      <c r="BF36" s="182"/>
      <c r="BG36" s="182"/>
      <c r="BH36" s="182"/>
      <c r="BI36" s="182"/>
      <c r="BJ36" s="182"/>
      <c r="BK36" s="182"/>
      <c r="BL36" s="182"/>
      <c r="BM36" s="182"/>
      <c r="BN36" s="182"/>
      <c r="BO36" s="182"/>
      <c r="BP36" s="182"/>
      <c r="BQ36" s="182"/>
      <c r="BR36" s="182"/>
      <c r="BS36" s="182"/>
      <c r="BT36" s="182"/>
      <c r="BU36" s="182"/>
      <c r="BV36" s="182"/>
      <c r="BW36" s="185" t="str">
        <f t="shared" ref="BW36:BX36" si="7">HYPERLINK("#Dashboard!dashboard_list", "↩ List")</f>
        <v>↩ List</v>
      </c>
      <c r="BX36" s="185"/>
      <c r="BY36" s="173"/>
    </row>
    <row r="37" spans="11:77" ht="20" customHeight="1" x14ac:dyDescent="0.2">
      <c r="K37" s="168"/>
      <c r="L37" s="207"/>
      <c r="M37" s="207"/>
      <c r="N37" s="207"/>
      <c r="O37" s="207"/>
      <c r="P37" s="207"/>
      <c r="Q37" s="207"/>
      <c r="R37" s="207"/>
      <c r="S37" s="207"/>
      <c r="T37" s="207"/>
      <c r="U37" s="207"/>
      <c r="V37" s="207"/>
      <c r="W37" s="207"/>
      <c r="X37" s="207"/>
      <c r="Y37" s="207"/>
      <c r="Z37" s="207"/>
      <c r="AA37" s="207"/>
      <c r="AB37" s="207"/>
      <c r="AC37" s="207"/>
      <c r="AD37" s="207"/>
      <c r="AE37" s="207"/>
      <c r="AF37" s="207"/>
      <c r="AG37" s="207"/>
      <c r="AH37" s="207"/>
      <c r="AI37" s="207"/>
      <c r="AJ37" s="207"/>
      <c r="AK37" s="207"/>
      <c r="AL37" s="207"/>
      <c r="AM37" s="207"/>
      <c r="AN37" s="207"/>
      <c r="AO37" s="207"/>
      <c r="AP37" s="207"/>
      <c r="AQ37" s="207"/>
      <c r="AR37" s="207"/>
      <c r="AS37" s="207"/>
      <c r="AT37" s="207"/>
      <c r="AU37" s="207"/>
      <c r="AV37" s="207"/>
      <c r="AW37" s="207"/>
      <c r="AX37" s="170"/>
      <c r="BC37" s="168"/>
      <c r="BD37" s="207"/>
      <c r="BE37" s="207"/>
      <c r="BF37" s="207"/>
      <c r="BG37" s="207"/>
      <c r="BH37" s="207"/>
      <c r="BI37" s="207"/>
      <c r="BJ37" s="207"/>
      <c r="BK37" s="207"/>
      <c r="BL37" s="207"/>
      <c r="BM37" s="207"/>
      <c r="BN37" s="207"/>
      <c r="BO37" s="207"/>
      <c r="BP37" s="207"/>
      <c r="BQ37" s="207"/>
      <c r="BR37" s="207"/>
      <c r="BS37" s="207"/>
      <c r="BT37" s="207"/>
      <c r="BU37" s="207"/>
      <c r="BV37" s="207"/>
      <c r="BW37" s="207"/>
      <c r="BX37" s="207"/>
      <c r="BY37" s="170"/>
    </row>
    <row r="38" spans="11:77" ht="20" customHeight="1" x14ac:dyDescent="0.2">
      <c r="K38" s="168"/>
      <c r="L38" s="207"/>
      <c r="M38" s="208" t="s">
        <v>180</v>
      </c>
      <c r="N38" s="207"/>
      <c r="O38" s="207"/>
      <c r="P38" s="207"/>
      <c r="Q38" s="207"/>
      <c r="R38" s="207"/>
      <c r="S38" s="207"/>
      <c r="T38" s="207"/>
      <c r="U38" s="207"/>
      <c r="V38" s="207"/>
      <c r="W38" s="207"/>
      <c r="X38" s="207"/>
      <c r="Y38" s="207"/>
      <c r="Z38" s="207"/>
      <c r="AA38" s="207"/>
      <c r="AB38" s="207"/>
      <c r="AC38" s="207"/>
      <c r="AD38" s="207"/>
      <c r="AE38" s="207"/>
      <c r="AF38" s="207"/>
      <c r="AG38" s="207"/>
      <c r="AH38" s="207"/>
      <c r="AI38" s="207"/>
      <c r="AJ38" s="207"/>
      <c r="AK38" s="207"/>
      <c r="AL38" s="207"/>
      <c r="AM38" s="207"/>
      <c r="AN38" s="207"/>
      <c r="AO38" s="207"/>
      <c r="AP38" s="207"/>
      <c r="AQ38" s="207"/>
      <c r="AR38" s="207"/>
      <c r="AS38" s="207"/>
      <c r="AT38" s="207"/>
      <c r="AU38" s="207"/>
      <c r="AV38" s="207"/>
      <c r="AW38" s="207"/>
      <c r="AX38" s="170"/>
      <c r="BC38" s="168"/>
      <c r="BD38" s="210" t="s">
        <v>185</v>
      </c>
      <c r="BE38" s="210" t="s">
        <v>186</v>
      </c>
      <c r="BF38" s="210" t="s">
        <v>187</v>
      </c>
      <c r="BG38" s="210" t="s">
        <v>188</v>
      </c>
      <c r="BH38" s="210" t="s">
        <v>189</v>
      </c>
      <c r="BI38" s="210" t="s">
        <v>190</v>
      </c>
      <c r="BJ38" s="210" t="s">
        <v>233</v>
      </c>
      <c r="BK38" s="210" t="s">
        <v>234</v>
      </c>
      <c r="BL38" s="210" t="s">
        <v>235</v>
      </c>
      <c r="BM38" s="210" t="s">
        <v>236</v>
      </c>
      <c r="BN38" s="210" t="s">
        <v>237</v>
      </c>
      <c r="BO38" s="210" t="s">
        <v>238</v>
      </c>
      <c r="BP38" s="210" t="s">
        <v>239</v>
      </c>
      <c r="BQ38" s="207"/>
      <c r="BR38" s="207"/>
      <c r="BS38" s="207"/>
      <c r="BT38" s="207"/>
      <c r="BU38" s="207"/>
      <c r="BV38" s="207"/>
      <c r="BW38" s="207"/>
      <c r="BX38" s="207"/>
      <c r="BY38" s="170"/>
    </row>
    <row r="39" spans="11:77" ht="20" customHeight="1" x14ac:dyDescent="0.2">
      <c r="K39" s="168"/>
      <c r="L39" s="207"/>
      <c r="M39" s="209" t="s">
        <v>168</v>
      </c>
      <c r="N39" s="207"/>
      <c r="O39" s="207"/>
      <c r="P39" s="207"/>
      <c r="Q39" s="207"/>
      <c r="R39" s="207"/>
      <c r="S39" s="207"/>
      <c r="T39" s="207"/>
      <c r="U39" s="207"/>
      <c r="V39" s="207"/>
      <c r="W39" s="207"/>
      <c r="X39" s="207"/>
      <c r="Y39" s="207"/>
      <c r="Z39" s="207"/>
      <c r="AA39" s="207"/>
      <c r="AB39" s="207"/>
      <c r="AC39" s="207"/>
      <c r="AD39" s="207"/>
      <c r="AE39" s="207"/>
      <c r="AF39" s="207"/>
      <c r="AG39" s="207"/>
      <c r="AH39" s="207"/>
      <c r="AI39" s="207"/>
      <c r="AJ39" s="207"/>
      <c r="AK39" s="207"/>
      <c r="AL39" s="207"/>
      <c r="AM39" s="207"/>
      <c r="AN39" s="207"/>
      <c r="AO39" s="207"/>
      <c r="AP39" s="207"/>
      <c r="AQ39" s="207"/>
      <c r="AR39" s="207"/>
      <c r="AS39" s="207"/>
      <c r="AT39" s="207"/>
      <c r="AU39" s="207"/>
      <c r="AV39" s="207"/>
      <c r="AW39" s="207"/>
      <c r="AX39" s="170"/>
      <c r="BC39" s="168"/>
      <c r="BD39" s="207" cm="1">
        <f t="array" ref="BD39:BD40">_xlfn.SEQUENCE(2,1,0)</f>
        <v>0</v>
      </c>
      <c r="BE39" s="174" cm="1">
        <f t="array" ref="BE39">IFERROR(SUMPRODUCT(ABS(Blueprint!G_0))/COUNT(Blueprint!G_0),"")</f>
        <v>6.7877557449542325E-2</v>
      </c>
      <c r="BF39" s="174" cm="1">
        <f t="array" ref="BF39">IFERROR(SUMPRODUCT(ABS(Blueprint!G_1))/COUNT(Blueprint!G_1),"")</f>
        <v>0.23160938052812571</v>
      </c>
      <c r="BG39" s="174" cm="1">
        <f t="array" ref="BG39">IFERROR(SUMPRODUCT(ABS(Blueprint!G_2))/COUNT(Blueprint!G_2),"")</f>
        <v>0.23874795507991711</v>
      </c>
      <c r="BH39" s="174" cm="1">
        <f t="array" ref="BH39">IFERROR(SUMPRODUCT(ABS(Blueprint!G_3))/COUNT(Blueprint!G_3),"")</f>
        <v>0.12479603201016706</v>
      </c>
      <c r="BI39" s="174" cm="1">
        <f t="array" ref="BI39">IFERROR(SUMPRODUCT(ABS(Blueprint!G_4))/COUNT(Blueprint!G_4),"")</f>
        <v>0.20055799871207031</v>
      </c>
      <c r="BJ39" s="174" cm="1">
        <f t="array" ref="BJ39">IFERROR(SUMPRODUCT(ABS(Blueprint!G_5))/COUNT(Blueprint!G_5),"")</f>
        <v>7.929573337049596E-2</v>
      </c>
      <c r="BK39" s="174" cm="1">
        <f t="array" ref="BK39">IFERROR(SUMPRODUCT(ABS(Blueprint!G_6))/COUNT(Blueprint!G_6),"")</f>
        <v>0.14664422847945671</v>
      </c>
      <c r="BL39" s="174" cm="1">
        <f t="array" ref="BL39">IFERROR(SUMPRODUCT(ABS(Blueprint!G_7))/COUNT(Blueprint!G_7),"")</f>
        <v>0.19538412833170116</v>
      </c>
      <c r="BM39" s="174" cm="1">
        <f t="array" ref="BM39">IFERROR(SUMPRODUCT(ABS(Blueprint!G_8))/COUNT(Blueprint!G_8),"")</f>
        <v>0.28485108287332633</v>
      </c>
      <c r="BN39" s="174" cm="1">
        <f t="array" ref="BN39">IFERROR(SUMPRODUCT(ABS(Blueprint!G_9))/COUNT(Blueprint!G_9),"")</f>
        <v>0.1134473417376647</v>
      </c>
      <c r="BO39" s="174" cm="1">
        <f t="array" ref="BO39">IFERROR(SUMPRODUCT(ABS(Blueprint!G_10))/COUNT(Blueprint!G_10),"")</f>
        <v>0.18006425459283654</v>
      </c>
      <c r="BP39" s="174" cm="1">
        <f t="array" ref="BP39">IFERROR(SUMPRODUCT(ABS(Blueprint!G_11))/COUNT(Blueprint!G_11),"")</f>
        <v>1.0304503614702172</v>
      </c>
      <c r="BQ39" s="207"/>
      <c r="BR39" s="207"/>
      <c r="BS39" s="207"/>
      <c r="BT39" s="207"/>
      <c r="BU39" s="207"/>
      <c r="BV39" s="207"/>
      <c r="BW39" s="207"/>
      <c r="BX39" s="207"/>
      <c r="BY39" s="170"/>
    </row>
    <row r="40" spans="11:77" ht="20" customHeight="1" x14ac:dyDescent="0.2">
      <c r="K40" s="177" t="s">
        <v>165</v>
      </c>
      <c r="L40" s="207"/>
      <c r="M40" s="210" t="s">
        <v>181</v>
      </c>
      <c r="N40" s="207"/>
      <c r="O40" s="207"/>
      <c r="P40" s="207"/>
      <c r="Q40" s="207"/>
      <c r="R40" s="207"/>
      <c r="S40" s="207"/>
      <c r="T40" s="207"/>
      <c r="U40" s="207"/>
      <c r="V40" s="210" t="s">
        <v>183</v>
      </c>
      <c r="W40" s="207"/>
      <c r="X40" s="207"/>
      <c r="Y40" s="207"/>
      <c r="Z40" s="207"/>
      <c r="AA40" s="207"/>
      <c r="AB40" s="210" t="s">
        <v>309</v>
      </c>
      <c r="AC40" s="207"/>
      <c r="AD40" s="207"/>
      <c r="AE40" s="207"/>
      <c r="AF40" s="207"/>
      <c r="AG40" s="207"/>
      <c r="AH40" s="207"/>
      <c r="AI40" s="207"/>
      <c r="AJ40" s="207"/>
      <c r="AK40" s="207"/>
      <c r="AL40" s="207"/>
      <c r="AM40" s="207"/>
      <c r="AN40" s="210" t="s">
        <v>310</v>
      </c>
      <c r="AO40" s="207"/>
      <c r="AP40" s="207"/>
      <c r="AQ40" s="207"/>
      <c r="AR40" s="207"/>
      <c r="AS40" s="207"/>
      <c r="AT40" s="207"/>
      <c r="AU40" s="207"/>
      <c r="AV40" s="207"/>
      <c r="AW40" s="207"/>
      <c r="AX40" s="170"/>
      <c r="BC40" s="168"/>
      <c r="BD40" s="207">
        <v>1</v>
      </c>
      <c r="BE40" s="176" cm="1">
        <f t="array" ref="BE40">IFERROR(SUMPRODUCT(ABS(Blueprint_ep1!G_0))/COUNT(Blueprint_ep1!G_0),"")</f>
        <v>3.0412751640244498E-2</v>
      </c>
      <c r="BF40" s="176" cm="1">
        <f t="array" ref="BF40">IFERROR(SUMPRODUCT(ABS(Blueprint_ep1!G_1))/COUNT(Blueprint_ep1!G_1),"")</f>
        <v>0.13484199201279351</v>
      </c>
      <c r="BG40" s="176" cm="1">
        <f t="array" ref="BG40">IFERROR(SUMPRODUCT(ABS(Blueprint_ep1!G_2))/COUNT(Blueprint_ep1!G_2),"")</f>
        <v>0.14050186069378595</v>
      </c>
      <c r="BH40" s="176" cm="1">
        <f t="array" ref="BH40">IFERROR(SUMPRODUCT(ABS(Blueprint_ep1!G_3))/COUNT(Blueprint_ep1!G_3),"")</f>
        <v>7.4436077771909068E-2</v>
      </c>
      <c r="BI40" s="176" cm="1">
        <f t="array" ref="BI40">IFERROR(SUMPRODUCT(ABS(Blueprint_ep1!G_4))/COUNT(Blueprint_ep1!G_4),"")</f>
        <v>0.12678129089397774</v>
      </c>
      <c r="BJ40" s="176" cm="1">
        <f t="array" ref="BJ40">IFERROR(SUMPRODUCT(ABS(Blueprint_ep1!G_5))/COUNT(Blueprint_ep1!G_5),"")</f>
        <v>6.7783591802067875E-2</v>
      </c>
      <c r="BK40" s="176" cm="1">
        <f t="array" ref="BK40">IFERROR(SUMPRODUCT(ABS(Blueprint_ep1!G_6))/COUNT(Blueprint_ep1!G_6),"")</f>
        <v>0.13139215702561011</v>
      </c>
      <c r="BL40" s="176" cm="1">
        <f t="array" ref="BL40">IFERROR(SUMPRODUCT(ABS(Blueprint_ep1!G_7))/COUNT(Blueprint_ep1!G_7),"")</f>
        <v>0.20229207322655796</v>
      </c>
      <c r="BM40" s="176" cm="1">
        <f t="array" ref="BM40">IFERROR(SUMPRODUCT(ABS(Blueprint_ep1!G_8))/COUNT(Blueprint_ep1!G_8),"")</f>
        <v>0.29585375245018891</v>
      </c>
      <c r="BN40" s="176" cm="1">
        <f t="array" ref="BN40">IFERROR(SUMPRODUCT(ABS(Blueprint_ep1!G_9))/COUNT(Blueprint_ep1!G_9),"")</f>
        <v>0.11344605308689087</v>
      </c>
      <c r="BO40" s="176" cm="1">
        <f t="array" ref="BO40">IFERROR(SUMPRODUCT(ABS(Blueprint_ep1!G_10))/COUNT(Blueprint_ep1!G_10),"")</f>
        <v>0.17011456500392069</v>
      </c>
      <c r="BP40" s="176" cm="1">
        <f t="array" ref="BP40">IFERROR(SUMPRODUCT(ABS(Blueprint_ep1!G_11))/COUNT(Blueprint_ep1!G_11),"")</f>
        <v>0.78582508078655655</v>
      </c>
      <c r="BQ40" s="207"/>
      <c r="BR40" s="207"/>
      <c r="BS40" s="207"/>
      <c r="BT40" s="207"/>
      <c r="BU40" s="207"/>
      <c r="BV40" s="207"/>
      <c r="BW40" s="207"/>
      <c r="BX40" s="207"/>
      <c r="BY40" s="170"/>
    </row>
    <row r="41" spans="11:77" ht="20" customHeight="1" x14ac:dyDescent="0.2">
      <c r="K41" s="178" t="s">
        <v>117</v>
      </c>
      <c r="L41" s="207"/>
      <c r="M41" s="179" cm="1">
        <f t="array" ref="M41:T44">Blueprint!dW_0</f>
        <v>-5.2207110083839992E-2</v>
      </c>
      <c r="N41" s="180">
        <v>-2.7270331525353717E-2</v>
      </c>
      <c r="O41" s="180">
        <v>-8.8382764155184201E-2</v>
      </c>
      <c r="P41" s="180">
        <v>-5.6732887381120971E-2</v>
      </c>
      <c r="Q41" s="180">
        <v>-1.3842110954161125E-2</v>
      </c>
      <c r="R41" s="180">
        <v>-0.12623303328787921</v>
      </c>
      <c r="S41" s="180">
        <v>4.2990927650419043E-2</v>
      </c>
      <c r="T41" s="181">
        <v>0.17385928695422781</v>
      </c>
      <c r="U41" s="207"/>
      <c r="V41" s="179" cm="1">
        <f t="array" ref="V41:Z50">Blueprint!dW_3</f>
        <v>-2.1534662912818598E-2</v>
      </c>
      <c r="W41" s="180">
        <v>-6.5813838647047138E-3</v>
      </c>
      <c r="X41" s="180">
        <v>9.4030549237030022E-3</v>
      </c>
      <c r="Y41" s="180">
        <v>-2.1006632607423616E-2</v>
      </c>
      <c r="Z41" s="181">
        <v>-9.6383795480275841E-2</v>
      </c>
      <c r="AA41" s="207"/>
      <c r="AB41" s="179" cm="1">
        <f t="array" ref="AB41:AL48">Blueprint!dW_5</f>
        <v>-0.42150152011898401</v>
      </c>
      <c r="AC41" s="180">
        <v>0.59090241433032509</v>
      </c>
      <c r="AD41" s="180">
        <v>0.38806802390946371</v>
      </c>
      <c r="AE41" s="180">
        <v>0.52074519830735166</v>
      </c>
      <c r="AF41" s="180">
        <v>0.28674398755374347</v>
      </c>
      <c r="AG41" s="180">
        <v>-0.52514918897175056</v>
      </c>
      <c r="AH41" s="180">
        <v>0.38076992217314942</v>
      </c>
      <c r="AI41" s="180">
        <v>0.3903393377138914</v>
      </c>
      <c r="AJ41" s="180">
        <v>-0.23048030567358066</v>
      </c>
      <c r="AK41" s="180">
        <v>0.12613624925504802</v>
      </c>
      <c r="AL41" s="181">
        <v>0.6770360662833389</v>
      </c>
      <c r="AM41" s="207"/>
      <c r="AN41" s="179" cm="1">
        <f t="array" ref="AN41:AV50">Blueprint!dW_9</f>
        <v>4.2495753704401142E-4</v>
      </c>
      <c r="AO41" s="180">
        <v>2.0535675694145192E-2</v>
      </c>
      <c r="AP41" s="180">
        <v>5.3940135242636E-3</v>
      </c>
      <c r="AQ41" s="180">
        <v>1.1714980666189248E-3</v>
      </c>
      <c r="AR41" s="180">
        <v>0</v>
      </c>
      <c r="AS41" s="180">
        <v>2.2236690834967428E-2</v>
      </c>
      <c r="AT41" s="180">
        <v>0</v>
      </c>
      <c r="AU41" s="180">
        <v>2.854853342740693E-2</v>
      </c>
      <c r="AV41" s="181">
        <v>4.7189417066190162E-2</v>
      </c>
      <c r="AW41" s="207"/>
      <c r="AX41" s="170"/>
      <c r="BC41" s="168"/>
      <c r="BD41" s="207"/>
      <c r="BE41" s="207"/>
      <c r="BF41" s="207"/>
      <c r="BG41" s="207"/>
      <c r="BH41" s="207"/>
      <c r="BI41" s="207"/>
      <c r="BJ41" s="207"/>
      <c r="BK41" s="207"/>
      <c r="BL41" s="207"/>
      <c r="BM41" s="207"/>
      <c r="BN41" s="207"/>
      <c r="BO41" s="207"/>
      <c r="BP41" s="207"/>
      <c r="BQ41" s="207"/>
      <c r="BR41" s="207"/>
      <c r="BS41" s="207"/>
      <c r="BT41" s="207"/>
      <c r="BU41" s="207"/>
      <c r="BV41" s="207"/>
      <c r="BW41" s="207"/>
      <c r="BX41" s="207"/>
      <c r="BY41" s="170"/>
    </row>
    <row r="42" spans="11:77" ht="20" customHeight="1" x14ac:dyDescent="0.2">
      <c r="K42" s="178" t="s">
        <v>117</v>
      </c>
      <c r="L42" s="207"/>
      <c r="M42" s="179">
        <v>0.11726620359866544</v>
      </c>
      <c r="N42" s="180">
        <v>0.28435093465716743</v>
      </c>
      <c r="O42" s="180">
        <v>-7.8295886903922959E-2</v>
      </c>
      <c r="P42" s="180">
        <v>6.2542488224899814E-2</v>
      </c>
      <c r="Q42" s="180">
        <v>-0.14743030913973318</v>
      </c>
      <c r="R42" s="180">
        <v>0.26451895927166263</v>
      </c>
      <c r="S42" s="180">
        <v>-0.35748188482491178</v>
      </c>
      <c r="T42" s="181">
        <v>0.37042311327581279</v>
      </c>
      <c r="U42" s="207"/>
      <c r="V42" s="179">
        <v>-2.1308341275903236E-2</v>
      </c>
      <c r="W42" s="180">
        <v>-3.6697589038801087E-3</v>
      </c>
      <c r="X42" s="180">
        <v>5.6515953727222174E-3</v>
      </c>
      <c r="Y42" s="180">
        <v>-8.8787692591808104E-4</v>
      </c>
      <c r="Z42" s="181">
        <v>-6.9011140189126116E-2</v>
      </c>
      <c r="AA42" s="207"/>
      <c r="AB42" s="179">
        <v>-0.24532111515146804</v>
      </c>
      <c r="AC42" s="180">
        <v>0.3924917193387889</v>
      </c>
      <c r="AD42" s="180">
        <v>0.25004662891796575</v>
      </c>
      <c r="AE42" s="180">
        <v>0.36401433404326716</v>
      </c>
      <c r="AF42" s="180">
        <v>0.2092067299181046</v>
      </c>
      <c r="AG42" s="180">
        <v>-0.32773910432154052</v>
      </c>
      <c r="AH42" s="180">
        <v>0.27507738343935922</v>
      </c>
      <c r="AI42" s="180">
        <v>0.25881604837238242</v>
      </c>
      <c r="AJ42" s="180">
        <v>-0.18124092056117158</v>
      </c>
      <c r="AK42" s="180">
        <v>7.9365790676406922E-2</v>
      </c>
      <c r="AL42" s="181">
        <v>0.4351810360402682</v>
      </c>
      <c r="AM42" s="207"/>
      <c r="AN42" s="179">
        <v>3.759547364558748E-3</v>
      </c>
      <c r="AO42" s="180">
        <v>0.23858520495994628</v>
      </c>
      <c r="AP42" s="180">
        <v>6.2985178966145791E-2</v>
      </c>
      <c r="AQ42" s="180">
        <v>1.3027082695202339E-2</v>
      </c>
      <c r="AR42" s="180">
        <v>0</v>
      </c>
      <c r="AS42" s="180">
        <v>0.22039947530705467</v>
      </c>
      <c r="AT42" s="180">
        <v>0</v>
      </c>
      <c r="AU42" s="180">
        <v>0.31054574664883927</v>
      </c>
      <c r="AV42" s="181">
        <v>0.49762000880851731</v>
      </c>
      <c r="AW42" s="207"/>
      <c r="AX42" s="170"/>
      <c r="BC42" s="168"/>
      <c r="BD42" s="207"/>
      <c r="BE42" s="207"/>
      <c r="BF42" s="207"/>
      <c r="BG42" s="207"/>
      <c r="BH42" s="207"/>
      <c r="BI42" s="207"/>
      <c r="BJ42" s="207"/>
      <c r="BK42" s="207"/>
      <c r="BL42" s="207"/>
      <c r="BM42" s="207"/>
      <c r="BN42" s="207"/>
      <c r="BO42" s="207"/>
      <c r="BP42" s="207"/>
      <c r="BQ42" s="207"/>
      <c r="BR42" s="207"/>
      <c r="BS42" s="207"/>
      <c r="BT42" s="207"/>
      <c r="BU42" s="207"/>
      <c r="BV42" s="207"/>
      <c r="BW42" s="207"/>
      <c r="BX42" s="207"/>
      <c r="BY42" s="170"/>
    </row>
    <row r="43" spans="11:77" ht="20" customHeight="1" x14ac:dyDescent="0.2">
      <c r="K43" s="178" t="s">
        <v>117</v>
      </c>
      <c r="L43" s="207"/>
      <c r="M43" s="179">
        <v>6.4864310796441046E-3</v>
      </c>
      <c r="N43" s="180">
        <v>-7.6477296429480021E-2</v>
      </c>
      <c r="O43" s="180">
        <v>6.1814562606050415E-2</v>
      </c>
      <c r="P43" s="180">
        <v>-6.7368280859216312E-3</v>
      </c>
      <c r="Q43" s="180">
        <v>9.082136864297026E-2</v>
      </c>
      <c r="R43" s="180">
        <v>3.4944432589018859E-3</v>
      </c>
      <c r="S43" s="180">
        <v>4.689161337837032E-2</v>
      </c>
      <c r="T43" s="181">
        <v>-0.21115904027751334</v>
      </c>
      <c r="U43" s="207"/>
      <c r="V43" s="179">
        <v>9.2760135066897367E-3</v>
      </c>
      <c r="W43" s="180">
        <v>4.3596939664795175E-3</v>
      </c>
      <c r="X43" s="180">
        <v>-1.7433592759010838E-2</v>
      </c>
      <c r="Y43" s="180">
        <v>0.10874493440419823</v>
      </c>
      <c r="Z43" s="181">
        <v>0.188676750187727</v>
      </c>
      <c r="AA43" s="207"/>
      <c r="AB43" s="179">
        <v>-4.5962772450988981E-2</v>
      </c>
      <c r="AC43" s="180">
        <v>6.5931016379036797E-2</v>
      </c>
      <c r="AD43" s="180">
        <v>4.3504723463576575E-2</v>
      </c>
      <c r="AE43" s="180">
        <v>6.0600612661024539E-2</v>
      </c>
      <c r="AF43" s="180">
        <v>2.7006258329873752E-2</v>
      </c>
      <c r="AG43" s="180">
        <v>-5.6404998231448712E-2</v>
      </c>
      <c r="AH43" s="180">
        <v>4.9381801971095415E-2</v>
      </c>
      <c r="AI43" s="180">
        <v>4.4789632450631764E-2</v>
      </c>
      <c r="AJ43" s="180">
        <v>-3.4593198641269592E-2</v>
      </c>
      <c r="AK43" s="180">
        <v>2.2172964326386969E-2</v>
      </c>
      <c r="AL43" s="181">
        <v>7.0329401891196131E-2</v>
      </c>
      <c r="AM43" s="207"/>
      <c r="AN43" s="179">
        <v>6.2704028602434119E-4</v>
      </c>
      <c r="AO43" s="180">
        <v>6.5523818824332697E-2</v>
      </c>
      <c r="AP43" s="180">
        <v>1.835282624680401E-2</v>
      </c>
      <c r="AQ43" s="180">
        <v>2.2197393090671925E-3</v>
      </c>
      <c r="AR43" s="180">
        <v>0</v>
      </c>
      <c r="AS43" s="180">
        <v>3.4328370722956393E-2</v>
      </c>
      <c r="AT43" s="180">
        <v>0</v>
      </c>
      <c r="AU43" s="180">
        <v>7.1442636082262673E-2</v>
      </c>
      <c r="AV43" s="181">
        <v>0.10840474882740811</v>
      </c>
      <c r="AW43" s="207"/>
      <c r="AX43" s="170"/>
      <c r="BC43" s="168"/>
      <c r="BD43" s="207"/>
      <c r="BE43" s="207"/>
      <c r="BF43" s="207"/>
      <c r="BG43" s="207"/>
      <c r="BH43" s="207"/>
      <c r="BI43" s="207"/>
      <c r="BJ43" s="207"/>
      <c r="BK43" s="207"/>
      <c r="BL43" s="207"/>
      <c r="BM43" s="207"/>
      <c r="BN43" s="207"/>
      <c r="BO43" s="207"/>
      <c r="BP43" s="207"/>
      <c r="BQ43" s="207"/>
      <c r="BR43" s="207"/>
      <c r="BS43" s="207"/>
      <c r="BT43" s="207"/>
      <c r="BU43" s="207"/>
      <c r="BV43" s="207"/>
      <c r="BW43" s="207"/>
      <c r="BX43" s="207"/>
      <c r="BY43" s="170"/>
    </row>
    <row r="44" spans="11:77" ht="20" customHeight="1" x14ac:dyDescent="0.2">
      <c r="K44" s="168"/>
      <c r="L44" s="207"/>
      <c r="M44" s="179">
        <v>1.4646627424901602E-2</v>
      </c>
      <c r="N44" s="180">
        <v>-7.0917396892891584E-4</v>
      </c>
      <c r="O44" s="180">
        <v>-1.5409782899004963E-2</v>
      </c>
      <c r="P44" s="180">
        <v>-2.0442412181238472E-2</v>
      </c>
      <c r="Q44" s="180">
        <v>3.6974453937510171E-2</v>
      </c>
      <c r="R44" s="180">
        <v>1.6217118804436766E-2</v>
      </c>
      <c r="S44" s="180">
        <v>-4.5430042036488073E-2</v>
      </c>
      <c r="T44" s="181">
        <v>9.5314207820273375E-3</v>
      </c>
      <c r="U44" s="207"/>
      <c r="V44" s="179">
        <v>-2.0108414114495751E-2</v>
      </c>
      <c r="W44" s="180">
        <v>-7.7107604910562951E-3</v>
      </c>
      <c r="X44" s="180">
        <v>1.127948423143217E-2</v>
      </c>
      <c r="Y44" s="180">
        <v>-3.4373818847454024E-2</v>
      </c>
      <c r="Z44" s="181">
        <v>-0.11019564706922802</v>
      </c>
      <c r="AA44" s="207"/>
      <c r="AB44" s="179">
        <v>0.10900607520784439</v>
      </c>
      <c r="AC44" s="180">
        <v>-0.19637995043585382</v>
      </c>
      <c r="AD44" s="180">
        <v>-0.12108978656550996</v>
      </c>
      <c r="AE44" s="180">
        <v>-0.18511790964752933</v>
      </c>
      <c r="AF44" s="180">
        <v>-0.12415501310222071</v>
      </c>
      <c r="AG44" s="180">
        <v>0.15895962116306081</v>
      </c>
      <c r="AH44" s="180">
        <v>-0.13296485102737052</v>
      </c>
      <c r="AI44" s="180">
        <v>-0.12660713250121516</v>
      </c>
      <c r="AJ44" s="180">
        <v>8.4501347595515516E-2</v>
      </c>
      <c r="AK44" s="180">
        <v>-2.0129425471348925E-2</v>
      </c>
      <c r="AL44" s="181">
        <v>-0.22229742425501259</v>
      </c>
      <c r="AM44" s="207"/>
      <c r="AN44" s="179">
        <v>1.6294397148413715E-3</v>
      </c>
      <c r="AO44" s="180">
        <v>5.427921600462042E-2</v>
      </c>
      <c r="AP44" s="180">
        <v>1.2673382682671234E-2</v>
      </c>
      <c r="AQ44" s="180">
        <v>5.1183487271184705E-3</v>
      </c>
      <c r="AR44" s="180">
        <v>0</v>
      </c>
      <c r="AS44" s="180">
        <v>9.5193228442794195E-2</v>
      </c>
      <c r="AT44" s="180">
        <v>0</v>
      </c>
      <c r="AU44" s="180">
        <v>9.4595828416346076E-2</v>
      </c>
      <c r="AV44" s="181">
        <v>0.1630653886545031</v>
      </c>
      <c r="AW44" s="207"/>
      <c r="AX44" s="170"/>
      <c r="BC44" s="168"/>
      <c r="BD44" s="207"/>
      <c r="BE44" s="207"/>
      <c r="BF44" s="207"/>
      <c r="BG44" s="207"/>
      <c r="BH44" s="207"/>
      <c r="BI44" s="207"/>
      <c r="BJ44" s="207"/>
      <c r="BK44" s="207"/>
      <c r="BL44" s="207"/>
      <c r="BM44" s="207"/>
      <c r="BN44" s="207"/>
      <c r="BO44" s="207"/>
      <c r="BP44" s="207"/>
      <c r="BQ44" s="207"/>
      <c r="BR44" s="207"/>
      <c r="BS44" s="207"/>
      <c r="BT44" s="207"/>
      <c r="BU44" s="207"/>
      <c r="BV44" s="207"/>
      <c r="BW44" s="207"/>
      <c r="BX44" s="207"/>
      <c r="BY44" s="170"/>
    </row>
    <row r="45" spans="11:77" ht="20" customHeight="1" x14ac:dyDescent="0.2">
      <c r="K45" s="168"/>
      <c r="L45" s="207"/>
      <c r="M45" s="210" t="s">
        <v>182</v>
      </c>
      <c r="N45" s="207"/>
      <c r="O45" s="207"/>
      <c r="P45" s="207"/>
      <c r="Q45" s="207"/>
      <c r="R45" s="207"/>
      <c r="S45" s="207"/>
      <c r="T45" s="207"/>
      <c r="U45" s="207"/>
      <c r="V45" s="179">
        <v>3.7992368240234503E-3</v>
      </c>
      <c r="W45" s="180">
        <v>-3.0813149432438909E-2</v>
      </c>
      <c r="X45" s="180">
        <v>6.3940310685510593E-2</v>
      </c>
      <c r="Y45" s="180">
        <v>-0.41113216189020985</v>
      </c>
      <c r="Z45" s="181">
        <v>-0.56492176963329876</v>
      </c>
      <c r="AA45" s="207"/>
      <c r="AB45" s="179">
        <v>0</v>
      </c>
      <c r="AC45" s="180">
        <v>0</v>
      </c>
      <c r="AD45" s="180">
        <v>0</v>
      </c>
      <c r="AE45" s="180">
        <v>0</v>
      </c>
      <c r="AF45" s="180">
        <v>0</v>
      </c>
      <c r="AG45" s="180">
        <v>0</v>
      </c>
      <c r="AH45" s="180">
        <v>0</v>
      </c>
      <c r="AI45" s="180">
        <v>0</v>
      </c>
      <c r="AJ45" s="180">
        <v>0</v>
      </c>
      <c r="AK45" s="180">
        <v>0</v>
      </c>
      <c r="AL45" s="181">
        <v>0</v>
      </c>
      <c r="AM45" s="207"/>
      <c r="AN45" s="179">
        <v>5.3128930217222062E-4</v>
      </c>
      <c r="AO45" s="180">
        <v>3.6580879208712377E-2</v>
      </c>
      <c r="AP45" s="180">
        <v>9.8103928531337245E-3</v>
      </c>
      <c r="AQ45" s="180">
        <v>1.8023855608345959E-3</v>
      </c>
      <c r="AR45" s="180">
        <v>0</v>
      </c>
      <c r="AS45" s="180">
        <v>3.0378367225675853E-2</v>
      </c>
      <c r="AT45" s="180">
        <v>0</v>
      </c>
      <c r="AU45" s="180">
        <v>4.58242871472469E-2</v>
      </c>
      <c r="AV45" s="181">
        <v>7.2741239922466117E-2</v>
      </c>
      <c r="AW45" s="207"/>
      <c r="AX45" s="170"/>
      <c r="BC45" s="168"/>
      <c r="BD45" s="207"/>
      <c r="BE45" s="207"/>
      <c r="BF45" s="207"/>
      <c r="BG45" s="207"/>
      <c r="BH45" s="207"/>
      <c r="BI45" s="207"/>
      <c r="BJ45" s="207"/>
      <c r="BK45" s="207"/>
      <c r="BL45" s="207"/>
      <c r="BM45" s="207"/>
      <c r="BN45" s="207"/>
      <c r="BO45" s="207"/>
      <c r="BP45" s="207"/>
      <c r="BQ45" s="207"/>
      <c r="BR45" s="207"/>
      <c r="BS45" s="207"/>
      <c r="BT45" s="207"/>
      <c r="BU45" s="207"/>
      <c r="BV45" s="207"/>
      <c r="BW45" s="207"/>
      <c r="BX45" s="207"/>
      <c r="BY45" s="170"/>
    </row>
    <row r="46" spans="11:77" ht="20" customHeight="1" x14ac:dyDescent="0.2">
      <c r="K46" s="168"/>
      <c r="L46" s="207"/>
      <c r="M46" s="179" cm="1">
        <f t="array" ref="M46:T49">Blueprint_ep1!dW_0</f>
        <v>5.9503783751458008E-3</v>
      </c>
      <c r="N46" s="180">
        <v>-1.2451859518953895E-2</v>
      </c>
      <c r="O46" s="180">
        <v>-3.7799298258009172E-2</v>
      </c>
      <c r="P46" s="180">
        <v>-4.0530508765912673E-2</v>
      </c>
      <c r="Q46" s="180">
        <v>4.9096183351271958E-2</v>
      </c>
      <c r="R46" s="180">
        <v>-1.0731021572413199E-2</v>
      </c>
      <c r="S46" s="180">
        <v>-4.4010059357070107E-2</v>
      </c>
      <c r="T46" s="181">
        <v>4.243050079137569E-2</v>
      </c>
      <c r="U46" s="207"/>
      <c r="V46" s="179">
        <v>-2.3891828423695999E-2</v>
      </c>
      <c r="W46" s="180">
        <v>-1.8824214422264455E-2</v>
      </c>
      <c r="X46" s="180">
        <v>4.8374642653879182E-2</v>
      </c>
      <c r="Y46" s="180">
        <v>-0.28425518720134635</v>
      </c>
      <c r="Z46" s="181">
        <v>-0.48317984154403137</v>
      </c>
      <c r="AA46" s="207"/>
      <c r="AB46" s="179">
        <v>-0.17482126087337671</v>
      </c>
      <c r="AC46" s="180">
        <v>0.27171903253817864</v>
      </c>
      <c r="AD46" s="180">
        <v>0.17532200873650722</v>
      </c>
      <c r="AE46" s="180">
        <v>0.25423737205378605</v>
      </c>
      <c r="AF46" s="180">
        <v>0.12824242074174072</v>
      </c>
      <c r="AG46" s="180">
        <v>-0.22607969821846624</v>
      </c>
      <c r="AH46" s="180">
        <v>0.20275715915014922</v>
      </c>
      <c r="AI46" s="180">
        <v>0.18236471500739029</v>
      </c>
      <c r="AJ46" s="180">
        <v>-0.14141567101592778</v>
      </c>
      <c r="AK46" s="180">
        <v>7.6137515233960201E-2</v>
      </c>
      <c r="AL46" s="181">
        <v>0.29146805577645862</v>
      </c>
      <c r="AM46" s="207"/>
      <c r="AN46" s="179">
        <v>-5.6249883855023905E-4</v>
      </c>
      <c r="AO46" s="180">
        <v>7.5450015229613955E-3</v>
      </c>
      <c r="AP46" s="180">
        <v>3.182320353049768E-3</v>
      </c>
      <c r="AQ46" s="180">
        <v>-1.1576819403767303E-3</v>
      </c>
      <c r="AR46" s="180">
        <v>0</v>
      </c>
      <c r="AS46" s="180">
        <v>-2.8973843410659606E-2</v>
      </c>
      <c r="AT46" s="180">
        <v>0</v>
      </c>
      <c r="AU46" s="180">
        <v>-9.400703059276528E-3</v>
      </c>
      <c r="AV46" s="181">
        <v>-2.5087018924236544E-2</v>
      </c>
      <c r="AW46" s="207"/>
      <c r="AX46" s="170"/>
      <c r="BC46" s="168"/>
      <c r="BD46" s="207"/>
      <c r="BE46" s="207"/>
      <c r="BF46" s="207"/>
      <c r="BG46" s="207"/>
      <c r="BH46" s="207"/>
      <c r="BI46" s="207"/>
      <c r="BJ46" s="207"/>
      <c r="BK46" s="207"/>
      <c r="BL46" s="207"/>
      <c r="BM46" s="207"/>
      <c r="BN46" s="207"/>
      <c r="BO46" s="207"/>
      <c r="BP46" s="207"/>
      <c r="BQ46" s="207"/>
      <c r="BR46" s="207"/>
      <c r="BS46" s="207"/>
      <c r="BT46" s="207"/>
      <c r="BU46" s="207"/>
      <c r="BV46" s="207"/>
      <c r="BW46" s="207"/>
      <c r="BX46" s="207"/>
      <c r="BY46" s="170"/>
    </row>
    <row r="47" spans="11:77" ht="20" customHeight="1" x14ac:dyDescent="0.2">
      <c r="K47" s="168"/>
      <c r="L47" s="207"/>
      <c r="M47" s="179">
        <v>5.4033853404509502E-2</v>
      </c>
      <c r="N47" s="180">
        <v>0.13018774200157845</v>
      </c>
      <c r="O47" s="180">
        <v>-3.7066548151454826E-2</v>
      </c>
      <c r="P47" s="180">
        <v>2.7507534911957607E-2</v>
      </c>
      <c r="Q47" s="180">
        <v>-6.6206938349146247E-2</v>
      </c>
      <c r="R47" s="180">
        <v>0.12115862898137165</v>
      </c>
      <c r="S47" s="180">
        <v>-0.16547155518093246</v>
      </c>
      <c r="T47" s="181">
        <v>0.17131179762557522</v>
      </c>
      <c r="U47" s="207"/>
      <c r="V47" s="179">
        <v>-1.6598351612990192E-4</v>
      </c>
      <c r="W47" s="180">
        <v>-3.8300523891753712E-3</v>
      </c>
      <c r="X47" s="180">
        <v>2.948800348766678E-3</v>
      </c>
      <c r="Y47" s="180">
        <v>-1.1187057793866494E-2</v>
      </c>
      <c r="Z47" s="181">
        <v>-1.273307916268771E-2</v>
      </c>
      <c r="AA47" s="207"/>
      <c r="AB47" s="179">
        <v>0</v>
      </c>
      <c r="AC47" s="180">
        <v>0</v>
      </c>
      <c r="AD47" s="180">
        <v>0</v>
      </c>
      <c r="AE47" s="180">
        <v>0</v>
      </c>
      <c r="AF47" s="180">
        <v>0</v>
      </c>
      <c r="AG47" s="180">
        <v>0</v>
      </c>
      <c r="AH47" s="180">
        <v>0</v>
      </c>
      <c r="AI47" s="180">
        <v>0</v>
      </c>
      <c r="AJ47" s="180">
        <v>0</v>
      </c>
      <c r="AK47" s="180">
        <v>0</v>
      </c>
      <c r="AL47" s="181">
        <v>0</v>
      </c>
      <c r="AM47" s="207"/>
      <c r="AN47" s="179">
        <v>3.6918977446498972E-4</v>
      </c>
      <c r="AO47" s="180">
        <v>3.1477142937981581E-2</v>
      </c>
      <c r="AP47" s="180">
        <v>8.6108395754166261E-3</v>
      </c>
      <c r="AQ47" s="180">
        <v>1.3293188907400593E-3</v>
      </c>
      <c r="AR47" s="180">
        <v>0</v>
      </c>
      <c r="AS47" s="180">
        <v>2.1284265854785881E-2</v>
      </c>
      <c r="AT47" s="180">
        <v>0</v>
      </c>
      <c r="AU47" s="180">
        <v>3.6841724616494209E-2</v>
      </c>
      <c r="AV47" s="181">
        <v>5.7144438651252294E-2</v>
      </c>
      <c r="AW47" s="207"/>
      <c r="AX47" s="170"/>
      <c r="BC47" s="168"/>
      <c r="BD47" s="207"/>
      <c r="BE47" s="207"/>
      <c r="BF47" s="207"/>
      <c r="BG47" s="207"/>
      <c r="BH47" s="207"/>
      <c r="BI47" s="207"/>
      <c r="BJ47" s="207"/>
      <c r="BK47" s="207"/>
      <c r="BL47" s="207"/>
      <c r="BM47" s="207"/>
      <c r="BN47" s="207"/>
      <c r="BO47" s="207"/>
      <c r="BP47" s="207"/>
      <c r="BQ47" s="207"/>
      <c r="BR47" s="207"/>
      <c r="BS47" s="207"/>
      <c r="BT47" s="207"/>
      <c r="BU47" s="207"/>
      <c r="BV47" s="207"/>
      <c r="BW47" s="207"/>
      <c r="BX47" s="207"/>
      <c r="BY47" s="170"/>
    </row>
    <row r="48" spans="11:77" ht="20" customHeight="1" x14ac:dyDescent="0.2">
      <c r="K48" s="168"/>
      <c r="L48" s="207"/>
      <c r="M48" s="179">
        <v>-2.8568632062104252E-2</v>
      </c>
      <c r="N48" s="180">
        <v>-5.0101959990156139E-2</v>
      </c>
      <c r="O48" s="180">
        <v>8.8423843846134349E-3</v>
      </c>
      <c r="P48" s="180">
        <v>-1.0416040720878912E-2</v>
      </c>
      <c r="Q48" s="180">
        <v>1.3499217717273837E-2</v>
      </c>
      <c r="R48" s="180">
        <v>-6.074078060934264E-2</v>
      </c>
      <c r="S48" s="180">
        <v>7.6232711628202471E-2</v>
      </c>
      <c r="T48" s="181">
        <v>-4.8121474085686664E-2</v>
      </c>
      <c r="U48" s="207"/>
      <c r="V48" s="179">
        <v>-1.8371307148386209E-2</v>
      </c>
      <c r="W48" s="180">
        <v>-2.8748485556167911E-2</v>
      </c>
      <c r="X48" s="180">
        <v>4.5626649792665674E-2</v>
      </c>
      <c r="Y48" s="180">
        <v>-0.24124873952712972</v>
      </c>
      <c r="Z48" s="181">
        <v>-0.38848075875799504</v>
      </c>
      <c r="AA48" s="207"/>
      <c r="AB48" s="179">
        <v>0.12039776382719297</v>
      </c>
      <c r="AC48" s="180">
        <v>-0.18320469553876007</v>
      </c>
      <c r="AD48" s="180">
        <v>-0.11846856949399875</v>
      </c>
      <c r="AE48" s="180">
        <v>-0.16876742455741939</v>
      </c>
      <c r="AF48" s="180">
        <v>-8.8914735884005947E-2</v>
      </c>
      <c r="AG48" s="180">
        <v>0.15502494826401214</v>
      </c>
      <c r="AH48" s="180">
        <v>-0.1308327298827611</v>
      </c>
      <c r="AI48" s="180">
        <v>-0.12213404851709815</v>
      </c>
      <c r="AJ48" s="180">
        <v>8.7806143411328572E-2</v>
      </c>
      <c r="AK48" s="180">
        <v>-4.6012434127301584E-2</v>
      </c>
      <c r="AL48" s="181">
        <v>-0.20084502545418903</v>
      </c>
      <c r="AM48" s="207"/>
      <c r="AN48" s="179">
        <v>6.8121607158984972E-4</v>
      </c>
      <c r="AO48" s="180">
        <v>1.675191279424449E-2</v>
      </c>
      <c r="AP48" s="180">
        <v>3.6662019137709647E-3</v>
      </c>
      <c r="AQ48" s="180">
        <v>1.9091534575997986E-3</v>
      </c>
      <c r="AR48" s="180">
        <v>0</v>
      </c>
      <c r="AS48" s="180">
        <v>3.7863103862159492E-2</v>
      </c>
      <c r="AT48" s="180">
        <v>0</v>
      </c>
      <c r="AU48" s="180">
        <v>3.3763686171008146E-2</v>
      </c>
      <c r="AV48" s="181">
        <v>6.0249501696116703E-2</v>
      </c>
      <c r="AW48" s="207"/>
      <c r="AX48" s="170"/>
      <c r="BC48" s="168"/>
      <c r="BD48" s="207"/>
      <c r="BE48" s="207"/>
      <c r="BF48" s="207"/>
      <c r="BG48" s="207"/>
      <c r="BH48" s="207"/>
      <c r="BI48" s="207"/>
      <c r="BJ48" s="207"/>
      <c r="BK48" s="207"/>
      <c r="BL48" s="207"/>
      <c r="BM48" s="207"/>
      <c r="BN48" s="207"/>
      <c r="BO48" s="207"/>
      <c r="BP48" s="207"/>
      <c r="BQ48" s="207"/>
      <c r="BR48" s="207"/>
      <c r="BS48" s="207"/>
      <c r="BT48" s="207"/>
      <c r="BU48" s="207"/>
      <c r="BV48" s="207"/>
      <c r="BW48" s="207"/>
      <c r="BX48" s="207"/>
      <c r="BY48" s="170"/>
    </row>
    <row r="49" spans="11:77" ht="20" customHeight="1" x14ac:dyDescent="0.2">
      <c r="K49" s="168"/>
      <c r="L49" s="207"/>
      <c r="M49" s="179">
        <v>-3.7481573150303267E-3</v>
      </c>
      <c r="N49" s="180">
        <v>1.5754031788246345E-2</v>
      </c>
      <c r="O49" s="180">
        <v>1.2603850274046726E-2</v>
      </c>
      <c r="P49" s="180">
        <v>2.2162936634791547E-2</v>
      </c>
      <c r="Q49" s="180">
        <v>-3.6529968811369141E-2</v>
      </c>
      <c r="R49" s="180">
        <v>5.5376046271555044E-3</v>
      </c>
      <c r="S49" s="180">
        <v>1.7284218002211162E-2</v>
      </c>
      <c r="T49" s="181">
        <v>2.6413948334407227E-3</v>
      </c>
      <c r="U49" s="207"/>
      <c r="V49" s="179">
        <v>1.7634814926139056E-2</v>
      </c>
      <c r="W49" s="180">
        <v>5.2195177126075631E-2</v>
      </c>
      <c r="X49" s="180">
        <v>-0.10610287962372889</v>
      </c>
      <c r="Y49" s="180">
        <v>0.64297245485504861</v>
      </c>
      <c r="Z49" s="181">
        <v>0.9584382809909554</v>
      </c>
      <c r="AA49" s="207"/>
      <c r="AB49" s="210" t="s">
        <v>312</v>
      </c>
      <c r="AC49" s="207"/>
      <c r="AD49" s="207"/>
      <c r="AE49" s="207"/>
      <c r="AF49" s="207"/>
      <c r="AG49" s="207"/>
      <c r="AH49" s="207"/>
      <c r="AI49" s="207"/>
      <c r="AJ49" s="207"/>
      <c r="AK49" s="207"/>
      <c r="AL49" s="207"/>
      <c r="AM49" s="207"/>
      <c r="AN49" s="179">
        <v>-4.7711872703546359E-3</v>
      </c>
      <c r="AO49" s="180">
        <v>-1.0267371682416129</v>
      </c>
      <c r="AP49" s="180">
        <v>-0.29180014919708386</v>
      </c>
      <c r="AQ49" s="180">
        <v>-2.8783676701830865E-2</v>
      </c>
      <c r="AR49" s="180">
        <v>0</v>
      </c>
      <c r="AS49" s="180">
        <v>-0.33537124512440769</v>
      </c>
      <c r="AT49" s="180">
        <v>0</v>
      </c>
      <c r="AU49" s="180">
        <v>-1.0089434178099004</v>
      </c>
      <c r="AV49" s="181">
        <v>-1.4486652884952236</v>
      </c>
      <c r="AW49" s="207"/>
      <c r="AX49" s="170"/>
      <c r="BC49" s="168"/>
      <c r="BD49" s="207"/>
      <c r="BE49" s="207"/>
      <c r="BF49" s="207"/>
      <c r="BG49" s="207"/>
      <c r="BH49" s="207"/>
      <c r="BI49" s="207"/>
      <c r="BJ49" s="207"/>
      <c r="BK49" s="207"/>
      <c r="BL49" s="207"/>
      <c r="BM49" s="207"/>
      <c r="BN49" s="207"/>
      <c r="BO49" s="207"/>
      <c r="BP49" s="207"/>
      <c r="BQ49" s="207"/>
      <c r="BR49" s="207"/>
      <c r="BS49" s="207"/>
      <c r="BT49" s="207"/>
      <c r="BU49" s="207"/>
      <c r="BV49" s="207"/>
      <c r="BW49" s="207"/>
      <c r="BX49" s="207"/>
      <c r="BY49" s="170"/>
    </row>
    <row r="50" spans="11:77" ht="20" customHeight="1" x14ac:dyDescent="0.2">
      <c r="K50" s="168"/>
      <c r="L50" s="207"/>
      <c r="M50" s="207"/>
      <c r="N50" s="207"/>
      <c r="O50" s="207"/>
      <c r="P50" s="207"/>
      <c r="Q50" s="207"/>
      <c r="R50" s="207"/>
      <c r="S50" s="207"/>
      <c r="T50" s="207"/>
      <c r="U50" s="207"/>
      <c r="V50" s="179">
        <v>2.633727638949938E-2</v>
      </c>
      <c r="W50" s="180">
        <v>5.7077321921539276E-2</v>
      </c>
      <c r="X50" s="180">
        <v>-8.6122347605705057E-2</v>
      </c>
      <c r="Y50" s="180">
        <v>0.4594505808760051</v>
      </c>
      <c r="Z50" s="181">
        <v>0.70784427001213079</v>
      </c>
      <c r="AA50" s="207"/>
      <c r="AB50" s="179" cm="1">
        <f t="array" ref="AB50:AL57">Blueprint_ep1!dW_5</f>
        <v>0</v>
      </c>
      <c r="AC50" s="180">
        <v>0</v>
      </c>
      <c r="AD50" s="180">
        <v>0</v>
      </c>
      <c r="AE50" s="180">
        <v>0</v>
      </c>
      <c r="AF50" s="180">
        <v>0</v>
      </c>
      <c r="AG50" s="180">
        <v>0</v>
      </c>
      <c r="AH50" s="180">
        <v>0</v>
      </c>
      <c r="AI50" s="180">
        <v>0</v>
      </c>
      <c r="AJ50" s="180">
        <v>0</v>
      </c>
      <c r="AK50" s="180">
        <v>0</v>
      </c>
      <c r="AL50" s="181">
        <v>0</v>
      </c>
      <c r="AM50" s="207"/>
      <c r="AN50" s="179">
        <v>4.3305183998383449E-3</v>
      </c>
      <c r="AO50" s="180">
        <v>0.40551111014124769</v>
      </c>
      <c r="AP50" s="180">
        <v>0.11253635342938539</v>
      </c>
      <c r="AQ50" s="180">
        <v>1.5090484112483132E-2</v>
      </c>
      <c r="AR50" s="180">
        <v>0</v>
      </c>
      <c r="AS50" s="180">
        <v>0.23977786148474972</v>
      </c>
      <c r="AT50" s="180">
        <v>0</v>
      </c>
      <c r="AU50" s="180">
        <v>0.45663023357469013</v>
      </c>
      <c r="AV50" s="181">
        <v>0.70080920946933789</v>
      </c>
      <c r="AW50" s="207"/>
      <c r="AX50" s="170"/>
      <c r="BC50" s="168"/>
      <c r="BD50" s="207"/>
      <c r="BE50" s="207"/>
      <c r="BF50" s="207"/>
      <c r="BG50" s="207"/>
      <c r="BH50" s="207"/>
      <c r="BI50" s="207"/>
      <c r="BJ50" s="207"/>
      <c r="BK50" s="207"/>
      <c r="BL50" s="207"/>
      <c r="BM50" s="207"/>
      <c r="BN50" s="207"/>
      <c r="BO50" s="207"/>
      <c r="BP50" s="207"/>
      <c r="BQ50" s="207"/>
      <c r="BR50" s="207"/>
      <c r="BS50" s="207"/>
      <c r="BT50" s="207"/>
      <c r="BU50" s="207"/>
      <c r="BV50" s="207"/>
      <c r="BW50" s="207"/>
      <c r="BX50" s="207"/>
      <c r="BY50" s="170"/>
    </row>
    <row r="51" spans="11:77" ht="20" customHeight="1" x14ac:dyDescent="0.2">
      <c r="K51" s="168"/>
      <c r="L51" s="207"/>
      <c r="M51" s="207"/>
      <c r="N51" s="207"/>
      <c r="O51" s="207"/>
      <c r="P51" s="207"/>
      <c r="Q51" s="207"/>
      <c r="R51" s="207"/>
      <c r="S51" s="207"/>
      <c r="T51" s="207"/>
      <c r="U51" s="207"/>
      <c r="V51" s="210" t="s">
        <v>184</v>
      </c>
      <c r="W51" s="207"/>
      <c r="X51" s="207"/>
      <c r="Y51" s="207"/>
      <c r="Z51" s="207"/>
      <c r="AA51" s="207"/>
      <c r="AB51" s="179">
        <v>-0.31700426365756901</v>
      </c>
      <c r="AC51" s="180">
        <v>0.51882743718666269</v>
      </c>
      <c r="AD51" s="180">
        <v>0.32048814166565831</v>
      </c>
      <c r="AE51" s="180">
        <v>0.48963478442677927</v>
      </c>
      <c r="AF51" s="180">
        <v>0.29635208201325902</v>
      </c>
      <c r="AG51" s="180">
        <v>-0.41085583705281115</v>
      </c>
      <c r="AH51" s="180">
        <v>0.3848883541392194</v>
      </c>
      <c r="AI51" s="180">
        <v>0.36384577035560595</v>
      </c>
      <c r="AJ51" s="180">
        <v>-0.32458276897316729</v>
      </c>
      <c r="AK51" s="180">
        <v>7.6263847171687979E-2</v>
      </c>
      <c r="AL51" s="181">
        <v>0.55741237257165122</v>
      </c>
      <c r="AM51" s="207"/>
      <c r="AN51" s="210" t="s">
        <v>313</v>
      </c>
      <c r="AO51" s="207"/>
      <c r="AP51" s="207"/>
      <c r="AQ51" s="207"/>
      <c r="AR51" s="207"/>
      <c r="AS51" s="207"/>
      <c r="AT51" s="207"/>
      <c r="AU51" s="207"/>
      <c r="AV51" s="207"/>
      <c r="AW51" s="207"/>
      <c r="AX51" s="170"/>
      <c r="BC51" s="168"/>
      <c r="BD51" s="207"/>
      <c r="BE51" s="207"/>
      <c r="BF51" s="207"/>
      <c r="BG51" s="207"/>
      <c r="BH51" s="207"/>
      <c r="BI51" s="207"/>
      <c r="BJ51" s="207"/>
      <c r="BK51" s="207"/>
      <c r="BL51" s="207"/>
      <c r="BM51" s="207"/>
      <c r="BN51" s="207"/>
      <c r="BO51" s="207"/>
      <c r="BP51" s="207"/>
      <c r="BQ51" s="207"/>
      <c r="BR51" s="207"/>
      <c r="BS51" s="207"/>
      <c r="BT51" s="207"/>
      <c r="BU51" s="207"/>
      <c r="BV51" s="207"/>
      <c r="BW51" s="207"/>
      <c r="BX51" s="207"/>
      <c r="BY51" s="170"/>
    </row>
    <row r="52" spans="11:77" ht="20" customHeight="1" x14ac:dyDescent="0.2">
      <c r="K52" s="168"/>
      <c r="L52" s="207"/>
      <c r="M52" s="207"/>
      <c r="N52" s="207"/>
      <c r="O52" s="207"/>
      <c r="P52" s="207"/>
      <c r="Q52" s="207"/>
      <c r="R52" s="207"/>
      <c r="S52" s="207"/>
      <c r="T52" s="207"/>
      <c r="U52" s="207"/>
      <c r="V52" s="179" cm="1">
        <f t="array" ref="V52:Z61">Blueprint_ep1!dW_3</f>
        <v>-4.0523232759885116E-3</v>
      </c>
      <c r="W52" s="180">
        <v>-1.2512741265497645E-3</v>
      </c>
      <c r="X52" s="180">
        <v>-1.9991672072166107E-3</v>
      </c>
      <c r="Y52" s="180">
        <v>2.3259950757959703E-2</v>
      </c>
      <c r="Z52" s="181">
        <v>2.2866944203361307E-2</v>
      </c>
      <c r="AA52" s="207"/>
      <c r="AB52" s="179">
        <v>1.7285959749546248E-2</v>
      </c>
      <c r="AC52" s="180">
        <v>-3.1448282143786366E-2</v>
      </c>
      <c r="AD52" s="180">
        <v>-1.8629494278471489E-2</v>
      </c>
      <c r="AE52" s="180">
        <v>-3.0114330435374051E-2</v>
      </c>
      <c r="AF52" s="180">
        <v>-1.9957105994814723E-2</v>
      </c>
      <c r="AG52" s="180">
        <v>2.4178804406081229E-2</v>
      </c>
      <c r="AH52" s="180">
        <v>-2.3093870730891527E-2</v>
      </c>
      <c r="AI52" s="180">
        <v>-2.1770016864172285E-2</v>
      </c>
      <c r="AJ52" s="180">
        <v>1.9369385698087185E-2</v>
      </c>
      <c r="AK52" s="180">
        <v>-2.5740224515245292E-3</v>
      </c>
      <c r="AL52" s="181">
        <v>-3.4176480420155177E-2</v>
      </c>
      <c r="AM52" s="207"/>
      <c r="AN52" s="179" cm="1">
        <f t="array" ref="AN52:AV61">Blueprint_ep1!dW_9</f>
        <v>0</v>
      </c>
      <c r="AO52" s="180">
        <v>1.7179952560425607E-2</v>
      </c>
      <c r="AP52" s="180">
        <v>5.8699011704500467E-3</v>
      </c>
      <c r="AQ52" s="180">
        <v>7.052565196567516E-3</v>
      </c>
      <c r="AR52" s="180">
        <v>0</v>
      </c>
      <c r="AS52" s="180">
        <v>1.8787792924600137E-2</v>
      </c>
      <c r="AT52" s="180">
        <v>0</v>
      </c>
      <c r="AU52" s="180">
        <v>3.5212504518204644E-2</v>
      </c>
      <c r="AV52" s="181">
        <v>5.0230366803628045E-2</v>
      </c>
      <c r="AW52" s="207"/>
      <c r="AX52" s="170"/>
      <c r="BC52" s="168"/>
      <c r="BD52" s="207"/>
      <c r="BE52" s="207"/>
      <c r="BF52" s="207"/>
      <c r="BG52" s="207"/>
      <c r="BH52" s="207"/>
      <c r="BI52" s="207"/>
      <c r="BJ52" s="207"/>
      <c r="BK52" s="207"/>
      <c r="BL52" s="207"/>
      <c r="BM52" s="207"/>
      <c r="BN52" s="207"/>
      <c r="BO52" s="207"/>
      <c r="BP52" s="207"/>
      <c r="BQ52" s="207"/>
      <c r="BR52" s="207"/>
      <c r="BS52" s="207"/>
      <c r="BT52" s="207"/>
      <c r="BU52" s="207"/>
      <c r="BV52" s="207"/>
      <c r="BW52" s="207"/>
      <c r="BX52" s="207"/>
      <c r="BY52" s="170"/>
    </row>
    <row r="53" spans="11:77" ht="20" customHeight="1" x14ac:dyDescent="0.2">
      <c r="K53" s="168"/>
      <c r="L53" s="207"/>
      <c r="M53" s="207"/>
      <c r="N53" s="207"/>
      <c r="O53" s="207"/>
      <c r="P53" s="207"/>
      <c r="Q53" s="207"/>
      <c r="R53" s="207"/>
      <c r="S53" s="207"/>
      <c r="T53" s="207"/>
      <c r="U53" s="207"/>
      <c r="V53" s="179">
        <v>-3.8812855817912965E-3</v>
      </c>
      <c r="W53" s="180">
        <v>-7.7753955466419462E-4</v>
      </c>
      <c r="X53" s="180">
        <v>-4.1993047263050864E-3</v>
      </c>
      <c r="Y53" s="180">
        <v>3.6086577501336314E-2</v>
      </c>
      <c r="Z53" s="181">
        <v>4.1511459785835064E-2</v>
      </c>
      <c r="AA53" s="207"/>
      <c r="AB53" s="179">
        <v>0.28321610790322216</v>
      </c>
      <c r="AC53" s="180">
        <v>-0.45859487208745509</v>
      </c>
      <c r="AD53" s="180">
        <v>-0.28471145823739541</v>
      </c>
      <c r="AE53" s="180">
        <v>-0.43262434093421676</v>
      </c>
      <c r="AF53" s="180">
        <v>-0.25739720632811025</v>
      </c>
      <c r="AG53" s="180">
        <v>0.36387537945830162</v>
      </c>
      <c r="AH53" s="180">
        <v>-0.34230346819609903</v>
      </c>
      <c r="AI53" s="180">
        <v>-0.32235863575485424</v>
      </c>
      <c r="AJ53" s="180">
        <v>0.28952941283673073</v>
      </c>
      <c r="AK53" s="180">
        <v>-7.2833253066907563E-2</v>
      </c>
      <c r="AL53" s="181">
        <v>-0.49077482380730053</v>
      </c>
      <c r="AM53" s="207"/>
      <c r="AN53" s="179">
        <v>0</v>
      </c>
      <c r="AO53" s="180">
        <v>0.12007831068869659</v>
      </c>
      <c r="AP53" s="180">
        <v>4.0816078149046545E-2</v>
      </c>
      <c r="AQ53" s="180">
        <v>5.3520289656281514E-2</v>
      </c>
      <c r="AR53" s="180">
        <v>0</v>
      </c>
      <c r="AS53" s="180">
        <v>0.13634356366157935</v>
      </c>
      <c r="AT53" s="180">
        <v>0</v>
      </c>
      <c r="AU53" s="180">
        <v>0.24995159723040553</v>
      </c>
      <c r="AV53" s="181">
        <v>0.35546033449865189</v>
      </c>
      <c r="AW53" s="207"/>
      <c r="AX53" s="170"/>
      <c r="BC53" s="168"/>
      <c r="BD53" s="207"/>
      <c r="BE53" s="207"/>
      <c r="BF53" s="207"/>
      <c r="BG53" s="207"/>
      <c r="BH53" s="207"/>
      <c r="BI53" s="207"/>
      <c r="BJ53" s="207"/>
      <c r="BK53" s="207"/>
      <c r="BL53" s="207"/>
      <c r="BM53" s="207"/>
      <c r="BN53" s="207"/>
      <c r="BO53" s="207"/>
      <c r="BP53" s="207"/>
      <c r="BQ53" s="207"/>
      <c r="BR53" s="207"/>
      <c r="BS53" s="207"/>
      <c r="BT53" s="207"/>
      <c r="BU53" s="207"/>
      <c r="BV53" s="207"/>
      <c r="BW53" s="207"/>
      <c r="BX53" s="207"/>
      <c r="BY53" s="170"/>
    </row>
    <row r="54" spans="11:77" ht="20" customHeight="1" x14ac:dyDescent="0.2">
      <c r="K54" s="168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179">
        <v>-1.7994980459451414E-3</v>
      </c>
      <c r="W54" s="180">
        <v>7.2867390787610242E-4</v>
      </c>
      <c r="X54" s="180">
        <v>-1.3747353111170974E-2</v>
      </c>
      <c r="Y54" s="180">
        <v>9.1997666225899805E-2</v>
      </c>
      <c r="Z54" s="181">
        <v>0.12887395516446945</v>
      </c>
      <c r="AA54" s="207"/>
      <c r="AB54" s="179">
        <v>0</v>
      </c>
      <c r="AC54" s="180">
        <v>0</v>
      </c>
      <c r="AD54" s="180">
        <v>0</v>
      </c>
      <c r="AE54" s="180">
        <v>0</v>
      </c>
      <c r="AF54" s="180">
        <v>0</v>
      </c>
      <c r="AG54" s="180">
        <v>0</v>
      </c>
      <c r="AH54" s="180">
        <v>0</v>
      </c>
      <c r="AI54" s="180">
        <v>0</v>
      </c>
      <c r="AJ54" s="180">
        <v>0</v>
      </c>
      <c r="AK54" s="180">
        <v>0</v>
      </c>
      <c r="AL54" s="181">
        <v>0</v>
      </c>
      <c r="AM54" s="207"/>
      <c r="AN54" s="179">
        <v>0</v>
      </c>
      <c r="AO54" s="180">
        <v>4.0964358928038694E-2</v>
      </c>
      <c r="AP54" s="180">
        <v>1.4026651899150706E-2</v>
      </c>
      <c r="AQ54" s="180">
        <v>1.0825013043107687E-2</v>
      </c>
      <c r="AR54" s="180">
        <v>0</v>
      </c>
      <c r="AS54" s="180">
        <v>2.0490161045740439E-2</v>
      </c>
      <c r="AT54" s="180">
        <v>0</v>
      </c>
      <c r="AU54" s="180">
        <v>6.5250094922743362E-2</v>
      </c>
      <c r="AV54" s="181">
        <v>8.8810955315462778E-2</v>
      </c>
      <c r="AW54" s="207"/>
      <c r="AX54" s="170"/>
      <c r="BC54" s="168"/>
      <c r="BD54" s="207"/>
      <c r="BE54" s="207"/>
      <c r="BF54" s="207"/>
      <c r="BG54" s="207"/>
      <c r="BH54" s="207"/>
      <c r="BI54" s="207"/>
      <c r="BJ54" s="207"/>
      <c r="BK54" s="207"/>
      <c r="BL54" s="207"/>
      <c r="BM54" s="207"/>
      <c r="BN54" s="207"/>
      <c r="BO54" s="207"/>
      <c r="BP54" s="207"/>
      <c r="BQ54" s="207"/>
      <c r="BR54" s="207"/>
      <c r="BS54" s="207"/>
      <c r="BT54" s="207"/>
      <c r="BU54" s="207"/>
      <c r="BV54" s="207"/>
      <c r="BW54" s="207"/>
      <c r="BX54" s="207"/>
      <c r="BY54" s="170"/>
    </row>
    <row r="55" spans="11:77" ht="20" customHeight="1" x14ac:dyDescent="0.2">
      <c r="K55" s="168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179">
        <v>-3.0201933753781388E-4</v>
      </c>
      <c r="W55" s="180">
        <v>-4.4376888312375922E-4</v>
      </c>
      <c r="X55" s="180">
        <v>-2.3905695702882562E-3</v>
      </c>
      <c r="Y55" s="180">
        <v>1.805562321528607E-2</v>
      </c>
      <c r="Z55" s="181">
        <v>2.681132989404765E-2</v>
      </c>
      <c r="AA55" s="207"/>
      <c r="AB55" s="179">
        <v>-0.19919849651480342</v>
      </c>
      <c r="AC55" s="180">
        <v>0.32768328414421394</v>
      </c>
      <c r="AD55" s="180">
        <v>0.20241581525451796</v>
      </c>
      <c r="AE55" s="180">
        <v>0.3106403820377257</v>
      </c>
      <c r="AF55" s="180">
        <v>0.18496679547470357</v>
      </c>
      <c r="AG55" s="180">
        <v>-0.25816584784307656</v>
      </c>
      <c r="AH55" s="180">
        <v>0.24688985489538823</v>
      </c>
      <c r="AI55" s="180">
        <v>0.23035066015063627</v>
      </c>
      <c r="AJ55" s="180">
        <v>-0.20972386360288281</v>
      </c>
      <c r="AK55" s="180">
        <v>5.2129436434220716E-2</v>
      </c>
      <c r="AL55" s="181">
        <v>0.3492697935022524</v>
      </c>
      <c r="AM55" s="207"/>
      <c r="AN55" s="179">
        <v>0</v>
      </c>
      <c r="AO55" s="180">
        <v>2.7290822325939851E-2</v>
      </c>
      <c r="AP55" s="180">
        <v>9.2601798791137665E-3</v>
      </c>
      <c r="AQ55" s="180">
        <v>2.0648466517264995E-2</v>
      </c>
      <c r="AR55" s="180">
        <v>0</v>
      </c>
      <c r="AS55" s="180">
        <v>6.7109365489481501E-2</v>
      </c>
      <c r="AT55" s="180">
        <v>0</v>
      </c>
      <c r="AU55" s="180">
        <v>8.4618149022006151E-2</v>
      </c>
      <c r="AV55" s="181">
        <v>0.12707741228114189</v>
      </c>
      <c r="AW55" s="207"/>
      <c r="AX55" s="170"/>
      <c r="BC55" s="168"/>
      <c r="BD55" s="207"/>
      <c r="BE55" s="207"/>
      <c r="BF55" s="207"/>
      <c r="BG55" s="207"/>
      <c r="BH55" s="207"/>
      <c r="BI55" s="207"/>
      <c r="BJ55" s="207"/>
      <c r="BK55" s="207"/>
      <c r="BL55" s="207"/>
      <c r="BM55" s="207"/>
      <c r="BN55" s="207"/>
      <c r="BO55" s="207"/>
      <c r="BP55" s="207"/>
      <c r="BQ55" s="207"/>
      <c r="BR55" s="207"/>
      <c r="BS55" s="207"/>
      <c r="BT55" s="207"/>
      <c r="BU55" s="207"/>
      <c r="BV55" s="207"/>
      <c r="BW55" s="207"/>
      <c r="BX55" s="207"/>
      <c r="BY55" s="170"/>
    </row>
    <row r="56" spans="11:77" ht="20" customHeight="1" x14ac:dyDescent="0.2">
      <c r="K56" s="168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179">
        <v>1.8107639711423679E-2</v>
      </c>
      <c r="W56" s="180">
        <v>-5.6027543467249714E-3</v>
      </c>
      <c r="X56" s="180">
        <v>5.6512876782814483E-2</v>
      </c>
      <c r="Y56" s="180">
        <v>-0.38270614396772329</v>
      </c>
      <c r="Z56" s="181">
        <v>-0.49194096834033518</v>
      </c>
      <c r="AA56" s="207"/>
      <c r="AB56" s="179">
        <v>0</v>
      </c>
      <c r="AC56" s="180">
        <v>0</v>
      </c>
      <c r="AD56" s="180">
        <v>0</v>
      </c>
      <c r="AE56" s="180">
        <v>0</v>
      </c>
      <c r="AF56" s="180">
        <v>0</v>
      </c>
      <c r="AG56" s="180">
        <v>0</v>
      </c>
      <c r="AH56" s="180">
        <v>0</v>
      </c>
      <c r="AI56" s="180">
        <v>0</v>
      </c>
      <c r="AJ56" s="180">
        <v>0</v>
      </c>
      <c r="AK56" s="180">
        <v>0</v>
      </c>
      <c r="AL56" s="181">
        <v>0</v>
      </c>
      <c r="AM56" s="207"/>
      <c r="AN56" s="179">
        <v>0</v>
      </c>
      <c r="AO56" s="180">
        <v>2.3737655888646368E-2</v>
      </c>
      <c r="AP56" s="180">
        <v>8.0731196804215959E-3</v>
      </c>
      <c r="AQ56" s="180">
        <v>9.7610622368133129E-3</v>
      </c>
      <c r="AR56" s="180">
        <v>0</v>
      </c>
      <c r="AS56" s="180">
        <v>2.3646454517785912E-2</v>
      </c>
      <c r="AT56" s="180">
        <v>0</v>
      </c>
      <c r="AU56" s="180">
        <v>4.6866354506990698E-2</v>
      </c>
      <c r="AV56" s="181">
        <v>6.6060447234863068E-2</v>
      </c>
      <c r="AW56" s="207"/>
      <c r="AX56" s="170"/>
      <c r="BC56" s="168"/>
      <c r="BD56" s="207"/>
      <c r="BE56" s="207"/>
      <c r="BF56" s="207"/>
      <c r="BG56" s="207"/>
      <c r="BH56" s="207"/>
      <c r="BI56" s="207"/>
      <c r="BJ56" s="207"/>
      <c r="BK56" s="207"/>
      <c r="BL56" s="207"/>
      <c r="BM56" s="207"/>
      <c r="BN56" s="207"/>
      <c r="BO56" s="207"/>
      <c r="BP56" s="207"/>
      <c r="BQ56" s="207"/>
      <c r="BR56" s="207"/>
      <c r="BS56" s="207"/>
      <c r="BT56" s="207"/>
      <c r="BU56" s="207"/>
      <c r="BV56" s="207"/>
      <c r="BW56" s="207"/>
      <c r="BX56" s="207"/>
      <c r="BY56" s="170"/>
    </row>
    <row r="57" spans="11:77" ht="20" customHeight="1" x14ac:dyDescent="0.2">
      <c r="K57" s="168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179">
        <v>1.4219372594551086E-2</v>
      </c>
      <c r="W57" s="180">
        <v>3.3241464910702036E-3</v>
      </c>
      <c r="X57" s="180">
        <v>3.4467614157313024E-2</v>
      </c>
      <c r="Y57" s="180">
        <v>-0.26204911431024375</v>
      </c>
      <c r="Z57" s="181">
        <v>-0.34655203912676347</v>
      </c>
      <c r="AA57" s="207"/>
      <c r="AB57" s="179">
        <v>8.590345538699562E-2</v>
      </c>
      <c r="AC57" s="180">
        <v>-0.13663010381156293</v>
      </c>
      <c r="AD57" s="180">
        <v>-8.5898026571046782E-2</v>
      </c>
      <c r="AE57" s="180">
        <v>-0.12977908236986052</v>
      </c>
      <c r="AF57" s="180">
        <v>-7.1673366018997917E-2</v>
      </c>
      <c r="AG57" s="180">
        <v>0.10798775694290892</v>
      </c>
      <c r="AH57" s="180">
        <v>-0.10631434286921274</v>
      </c>
      <c r="AI57" s="180">
        <v>-9.7005977863579396E-2</v>
      </c>
      <c r="AJ57" s="180">
        <v>9.1658138868833727E-2</v>
      </c>
      <c r="AK57" s="180">
        <v>-2.8642954852279259E-2</v>
      </c>
      <c r="AL57" s="181">
        <v>-0.14275385737445989</v>
      </c>
      <c r="AM57" s="207"/>
      <c r="AN57" s="179">
        <v>0</v>
      </c>
      <c r="AO57" s="180">
        <v>7.9456207933433255E-3</v>
      </c>
      <c r="AP57" s="180">
        <v>2.7097112597069383E-3</v>
      </c>
      <c r="AQ57" s="180">
        <v>-4.795528725087336E-3</v>
      </c>
      <c r="AR57" s="180">
        <v>0</v>
      </c>
      <c r="AS57" s="180">
        <v>-2.6925912174176492E-2</v>
      </c>
      <c r="AT57" s="180">
        <v>0</v>
      </c>
      <c r="AU57" s="180">
        <v>-1.1138192925436736E-2</v>
      </c>
      <c r="AV57" s="181">
        <v>-2.2618496099417178E-2</v>
      </c>
      <c r="AW57" s="207"/>
      <c r="AX57" s="170"/>
      <c r="BC57" s="168"/>
      <c r="BD57" s="207"/>
      <c r="BE57" s="207"/>
      <c r="BF57" s="207"/>
      <c r="BG57" s="207"/>
      <c r="BH57" s="207"/>
      <c r="BI57" s="207"/>
      <c r="BJ57" s="207"/>
      <c r="BK57" s="207"/>
      <c r="BL57" s="207"/>
      <c r="BM57" s="207"/>
      <c r="BN57" s="207"/>
      <c r="BO57" s="207"/>
      <c r="BP57" s="207"/>
      <c r="BQ57" s="207"/>
      <c r="BR57" s="207"/>
      <c r="BS57" s="207"/>
      <c r="BT57" s="207"/>
      <c r="BU57" s="207"/>
      <c r="BV57" s="207"/>
      <c r="BW57" s="207"/>
      <c r="BX57" s="207"/>
      <c r="BY57" s="170"/>
    </row>
    <row r="58" spans="11:77" ht="20" customHeight="1" x14ac:dyDescent="0.2">
      <c r="K58" s="168"/>
      <c r="L58" s="207"/>
      <c r="M58" s="207"/>
      <c r="N58" s="207"/>
      <c r="O58" s="207"/>
      <c r="P58" s="207"/>
      <c r="Q58" s="207"/>
      <c r="R58" s="207"/>
      <c r="S58" s="207"/>
      <c r="T58" s="207"/>
      <c r="U58" s="207"/>
      <c r="V58" s="179">
        <v>3.3180422771024991E-3</v>
      </c>
      <c r="W58" s="180">
        <v>-1.4174563058058825E-3</v>
      </c>
      <c r="X58" s="180">
        <v>-7.7341741760333059E-4</v>
      </c>
      <c r="Y58" s="180">
        <v>6.0065481398045928E-3</v>
      </c>
      <c r="Z58" s="181">
        <v>2.4139729020399583E-2</v>
      </c>
      <c r="AA58" s="207"/>
      <c r="AB58" s="207"/>
      <c r="AC58" s="207"/>
      <c r="AD58" s="207"/>
      <c r="AE58" s="207"/>
      <c r="AF58" s="207"/>
      <c r="AG58" s="207"/>
      <c r="AH58" s="207"/>
      <c r="AI58" s="207"/>
      <c r="AJ58" s="207"/>
      <c r="AK58" s="207"/>
      <c r="AL58" s="207"/>
      <c r="AM58" s="207"/>
      <c r="AN58" s="179">
        <v>0</v>
      </c>
      <c r="AO58" s="180">
        <v>1.5457103060145874E-2</v>
      </c>
      <c r="AP58" s="180">
        <v>5.282268246416537E-3</v>
      </c>
      <c r="AQ58" s="180">
        <v>5.012153486118387E-3</v>
      </c>
      <c r="AR58" s="180">
        <v>0</v>
      </c>
      <c r="AS58" s="180">
        <v>1.1129321069053691E-2</v>
      </c>
      <c r="AT58" s="180">
        <v>0</v>
      </c>
      <c r="AU58" s="180">
        <v>2.723532035016079E-2</v>
      </c>
      <c r="AV58" s="181">
        <v>3.7777564618598825E-2</v>
      </c>
      <c r="AW58" s="207"/>
      <c r="AX58" s="170"/>
      <c r="BC58" s="168"/>
      <c r="BD58" s="207"/>
      <c r="BE58" s="207"/>
      <c r="BF58" s="207"/>
      <c r="BG58" s="207"/>
      <c r="BH58" s="207"/>
      <c r="BI58" s="207"/>
      <c r="BJ58" s="207"/>
      <c r="BK58" s="207"/>
      <c r="BL58" s="207"/>
      <c r="BM58" s="207"/>
      <c r="BN58" s="207"/>
      <c r="BO58" s="207"/>
      <c r="BP58" s="207"/>
      <c r="BQ58" s="207"/>
      <c r="BR58" s="207"/>
      <c r="BS58" s="207"/>
      <c r="BT58" s="207"/>
      <c r="BU58" s="207"/>
      <c r="BV58" s="207"/>
      <c r="BW58" s="207"/>
      <c r="BX58" s="207"/>
      <c r="BY58" s="170"/>
    </row>
    <row r="59" spans="11:77" ht="20" customHeight="1" x14ac:dyDescent="0.2">
      <c r="K59" s="168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179">
        <v>7.1538774645657837E-3</v>
      </c>
      <c r="W59" s="180">
        <v>-1.199032022856733E-3</v>
      </c>
      <c r="X59" s="180">
        <v>1.5335831259159481E-2</v>
      </c>
      <c r="Y59" s="180">
        <v>-0.10794796502202199</v>
      </c>
      <c r="Z59" s="181">
        <v>-0.13224267592083627</v>
      </c>
      <c r="AA59" s="207"/>
      <c r="AB59" s="207"/>
      <c r="AC59" s="207"/>
      <c r="AD59" s="207"/>
      <c r="AE59" s="207"/>
      <c r="AF59" s="207"/>
      <c r="AG59" s="207"/>
      <c r="AH59" s="207"/>
      <c r="AI59" s="207"/>
      <c r="AJ59" s="207"/>
      <c r="AK59" s="207"/>
      <c r="AL59" s="207"/>
      <c r="AM59" s="207"/>
      <c r="AN59" s="179">
        <v>0</v>
      </c>
      <c r="AO59" s="180">
        <v>1.1858468011756756E-2</v>
      </c>
      <c r="AP59" s="180">
        <v>4.0017804101202935E-3</v>
      </c>
      <c r="AQ59" s="180">
        <v>1.1509741049234825E-2</v>
      </c>
      <c r="AR59" s="180">
        <v>0</v>
      </c>
      <c r="AS59" s="180">
        <v>3.8872172684937645E-2</v>
      </c>
      <c r="AT59" s="180">
        <v>0</v>
      </c>
      <c r="AU59" s="180">
        <v>4.4242581664647868E-2</v>
      </c>
      <c r="AV59" s="181">
        <v>6.7489676125306694E-2</v>
      </c>
      <c r="AW59" s="207"/>
      <c r="AX59" s="170"/>
      <c r="BC59" s="168"/>
      <c r="BD59" s="207"/>
      <c r="BE59" s="207"/>
      <c r="BF59" s="207"/>
      <c r="BG59" s="207"/>
      <c r="BH59" s="207"/>
      <c r="BI59" s="207"/>
      <c r="BJ59" s="207"/>
      <c r="BK59" s="207"/>
      <c r="BL59" s="207"/>
      <c r="BM59" s="207"/>
      <c r="BN59" s="207"/>
      <c r="BO59" s="207"/>
      <c r="BP59" s="207"/>
      <c r="BQ59" s="207"/>
      <c r="BR59" s="207"/>
      <c r="BS59" s="207"/>
      <c r="BT59" s="207"/>
      <c r="BU59" s="207"/>
      <c r="BV59" s="207"/>
      <c r="BW59" s="207"/>
      <c r="BX59" s="207"/>
      <c r="BY59" s="170"/>
    </row>
    <row r="60" spans="11:77" ht="20" customHeight="1" x14ac:dyDescent="0.2">
      <c r="K60" s="168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179">
        <v>-2.8051610372466229E-2</v>
      </c>
      <c r="W60" s="180">
        <v>-3.0786976571543188E-3</v>
      </c>
      <c r="X60" s="180">
        <v>-6.5879668871085151E-2</v>
      </c>
      <c r="Y60" s="180">
        <v>0.49011330326623059</v>
      </c>
      <c r="Z60" s="181">
        <v>0.63576953641504719</v>
      </c>
      <c r="AA60" s="207"/>
      <c r="AB60" s="207"/>
      <c r="AC60" s="207"/>
      <c r="AD60" s="207"/>
      <c r="AE60" s="207"/>
      <c r="AF60" s="207"/>
      <c r="AG60" s="207"/>
      <c r="AH60" s="207"/>
      <c r="AI60" s="207"/>
      <c r="AJ60" s="207"/>
      <c r="AK60" s="207"/>
      <c r="AL60" s="207"/>
      <c r="AM60" s="207"/>
      <c r="AN60" s="179">
        <v>0</v>
      </c>
      <c r="AO60" s="180">
        <v>-0.90863518491110185</v>
      </c>
      <c r="AP60" s="180">
        <v>-0.30926019052410014</v>
      </c>
      <c r="AQ60" s="180">
        <v>-0.20664051623199922</v>
      </c>
      <c r="AR60" s="180">
        <v>0</v>
      </c>
      <c r="AS60" s="180">
        <v>-0.18874317433789684</v>
      </c>
      <c r="AT60" s="180">
        <v>0</v>
      </c>
      <c r="AU60" s="180">
        <v>-1.2423861936719351</v>
      </c>
      <c r="AV60" s="181">
        <v>-1.6097425683473148</v>
      </c>
      <c r="AW60" s="207"/>
      <c r="AX60" s="170"/>
      <c r="BC60" s="169"/>
      <c r="BD60" s="166"/>
      <c r="BE60" s="166"/>
      <c r="BF60" s="166"/>
      <c r="BG60" s="166"/>
      <c r="BH60" s="166"/>
      <c r="BI60" s="166"/>
      <c r="BJ60" s="166"/>
      <c r="BK60" s="166"/>
      <c r="BL60" s="166"/>
      <c r="BM60" s="166"/>
      <c r="BN60" s="166"/>
      <c r="BO60" s="166"/>
      <c r="BP60" s="166"/>
      <c r="BQ60" s="166"/>
      <c r="BR60" s="166"/>
      <c r="BS60" s="166"/>
      <c r="BT60" s="166"/>
      <c r="BU60" s="166"/>
      <c r="BV60" s="166"/>
      <c r="BW60" s="166"/>
      <c r="BX60" s="166"/>
      <c r="BY60" s="171"/>
    </row>
    <row r="61" spans="11:77" ht="20" customHeight="1" x14ac:dyDescent="0.2">
      <c r="K61" s="168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179">
        <v>-1.0063824473236546E-2</v>
      </c>
      <c r="W61" s="180">
        <v>3.9313577073339396E-3</v>
      </c>
      <c r="X61" s="180">
        <v>-3.0869387976769892E-2</v>
      </c>
      <c r="Y61" s="180">
        <v>0.20611030149000897</v>
      </c>
      <c r="Z61" s="181">
        <v>0.26173759169057315</v>
      </c>
      <c r="AA61" s="207"/>
      <c r="AB61" s="207"/>
      <c r="AC61" s="207"/>
      <c r="AD61" s="207"/>
      <c r="AE61" s="207"/>
      <c r="AF61" s="207"/>
      <c r="AG61" s="207"/>
      <c r="AH61" s="207"/>
      <c r="AI61" s="207"/>
      <c r="AJ61" s="207"/>
      <c r="AK61" s="207"/>
      <c r="AL61" s="207"/>
      <c r="AM61" s="207"/>
      <c r="AN61" s="179">
        <v>0</v>
      </c>
      <c r="AO61" s="180">
        <v>0.25979281753457173</v>
      </c>
      <c r="AP61" s="180">
        <v>8.8742809983807874E-2</v>
      </c>
      <c r="AQ61" s="180">
        <v>7.7335392749857179E-2</v>
      </c>
      <c r="AR61" s="180">
        <v>0</v>
      </c>
      <c r="AS61" s="180">
        <v>0.15437726338550128</v>
      </c>
      <c r="AT61" s="180">
        <v>0</v>
      </c>
      <c r="AU61" s="180">
        <v>0.43258637466573246</v>
      </c>
      <c r="AV61" s="181">
        <v>0.59254304110931577</v>
      </c>
      <c r="AW61" s="207"/>
      <c r="AX61" s="170"/>
    </row>
    <row r="62" spans="11:77" ht="20" customHeight="1" x14ac:dyDescent="0.2">
      <c r="K62" s="168"/>
      <c r="L62" s="207"/>
      <c r="M62" s="207"/>
      <c r="N62" s="207"/>
      <c r="O62" s="207"/>
      <c r="P62" s="207"/>
      <c r="Q62" s="207"/>
      <c r="R62" s="207"/>
      <c r="S62" s="207"/>
      <c r="T62" s="207"/>
      <c r="U62" s="207"/>
      <c r="V62" s="207"/>
      <c r="W62" s="207"/>
      <c r="X62" s="207"/>
      <c r="Y62" s="207"/>
      <c r="Z62" s="207"/>
      <c r="AA62" s="207"/>
      <c r="AB62" s="207"/>
      <c r="AC62" s="207"/>
      <c r="AD62" s="207"/>
      <c r="AE62" s="207"/>
      <c r="AF62" s="207"/>
      <c r="AG62" s="207"/>
      <c r="AH62" s="207"/>
      <c r="AI62" s="207"/>
      <c r="AJ62" s="207"/>
      <c r="AK62" s="207"/>
      <c r="AL62" s="207"/>
      <c r="AM62" s="207"/>
      <c r="AN62" s="207"/>
      <c r="AO62" s="207"/>
      <c r="AP62" s="207"/>
      <c r="AQ62" s="207"/>
      <c r="AR62" s="207"/>
      <c r="AS62" s="207"/>
      <c r="AT62" s="207"/>
      <c r="AU62" s="207"/>
      <c r="AV62" s="207"/>
      <c r="AW62" s="207"/>
      <c r="AX62" s="170"/>
    </row>
    <row r="63" spans="11:77" ht="20" customHeight="1" x14ac:dyDescent="0.2">
      <c r="K63" s="169"/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  <c r="AA63" s="166"/>
      <c r="AB63" s="166"/>
      <c r="AC63" s="166"/>
      <c r="AD63" s="166"/>
      <c r="AE63" s="166"/>
      <c r="AF63" s="166"/>
      <c r="AG63" s="166"/>
      <c r="AH63" s="166"/>
      <c r="AI63" s="166"/>
      <c r="AJ63" s="166"/>
      <c r="AK63" s="166"/>
      <c r="AL63" s="166"/>
      <c r="AM63" s="166"/>
      <c r="AN63" s="166"/>
      <c r="AO63" s="166"/>
      <c r="AP63" s="166"/>
      <c r="AQ63" s="166"/>
      <c r="AR63" s="166"/>
      <c r="AS63" s="166"/>
      <c r="AT63" s="166"/>
      <c r="AU63" s="166"/>
      <c r="AV63" s="166"/>
      <c r="AW63" s="166"/>
      <c r="AX63" s="171"/>
    </row>
  </sheetData>
  <mergeCells count="13">
    <mergeCell ref="C4:H4"/>
    <mergeCell ref="C5:F5"/>
    <mergeCell ref="C6:F6"/>
    <mergeCell ref="C7:F7"/>
    <mergeCell ref="C8:F8"/>
    <mergeCell ref="L4:AE4"/>
    <mergeCell ref="AF4:AG4"/>
    <mergeCell ref="AO4:CI4"/>
    <mergeCell ref="CJ4:CK4"/>
    <mergeCell ref="L36:AU36"/>
    <mergeCell ref="AV36:AW36"/>
    <mergeCell ref="BD36:BV36"/>
    <mergeCell ref="BW36:BX36"/>
  </mergeCells>
  <conditionalFormatting sqref="L6:L7">
    <cfRule type="colorScale" priority="1">
      <colorScale>
        <cfvo type="min"/>
        <cfvo type="percentile" val="50"/>
        <cfvo type="max"/>
        <color rgb="FFFFA500"/>
        <color rgb="FFF5F5F5"/>
        <color rgb="FFFFFF00"/>
      </colorScale>
    </cfRule>
  </conditionalFormatting>
  <conditionalFormatting sqref="AP9:AR18">
    <cfRule type="colorScale" priority="2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AP20:AR29">
    <cfRule type="colorScale" priority="3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AT9:AV18">
    <cfRule type="colorScale" priority="4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AT20:AV29">
    <cfRule type="colorScale" priority="5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AX9:AZ18">
    <cfRule type="colorScale" priority="6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AX20:AZ29">
    <cfRule type="colorScale" priority="7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BB9:BD16">
    <cfRule type="colorScale" priority="8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BB18:BD25">
    <cfRule type="colorScale" priority="9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BF9:BH16">
    <cfRule type="colorScale" priority="10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BF18:BH25">
    <cfRule type="colorScale" priority="11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BJ9:BL16">
    <cfRule type="colorScale" priority="12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BJ18:BL25">
    <cfRule type="colorScale" priority="13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BN9:BP16">
    <cfRule type="colorScale" priority="14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BN18:BP25">
    <cfRule type="colorScale" priority="15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BR9:BT18">
    <cfRule type="colorScale" priority="16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BR20:BT29">
    <cfRule type="colorScale" priority="17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BV9:BX18">
    <cfRule type="colorScale" priority="18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BV20:BX29">
    <cfRule type="colorScale" priority="19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BZ9:CB12">
    <cfRule type="colorScale" priority="20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BZ14:CB17">
    <cfRule type="colorScale" priority="21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CD9:CF12">
    <cfRule type="colorScale" priority="22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CD14:CF17">
    <cfRule type="colorScale" priority="23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CH9:CJ12">
    <cfRule type="colorScale" priority="24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CH14:CJ17">
    <cfRule type="colorScale" priority="25">
      <colorScale>
        <cfvo type="min"/>
        <cfvo type="percentile" val="50"/>
        <cfvo type="max"/>
        <color rgb="FF6495ED"/>
        <color rgb="FFF5F5F5"/>
        <color rgb="FFFF6347"/>
      </colorScale>
    </cfRule>
  </conditionalFormatting>
  <conditionalFormatting sqref="M41:T44">
    <cfRule type="colorScale" priority="26">
      <colorScale>
        <cfvo type="min"/>
        <cfvo type="percentile" val="50"/>
        <cfvo type="max"/>
        <color rgb="FFFFA500"/>
        <color rgb="FFF5F5F5"/>
        <color rgb="FFFFFF00"/>
      </colorScale>
    </cfRule>
  </conditionalFormatting>
  <conditionalFormatting sqref="M46:T49">
    <cfRule type="colorScale" priority="27">
      <colorScale>
        <cfvo type="min"/>
        <cfvo type="percentile" val="50"/>
        <cfvo type="max"/>
        <color rgb="FFFFA500"/>
        <color rgb="FFF5F5F5"/>
        <color rgb="FFFFFF00"/>
      </colorScale>
    </cfRule>
  </conditionalFormatting>
  <conditionalFormatting sqref="V41:Z50">
    <cfRule type="colorScale" priority="28">
      <colorScale>
        <cfvo type="min"/>
        <cfvo type="percentile" val="50"/>
        <cfvo type="max"/>
        <color rgb="FFFFA500"/>
        <color rgb="FFF5F5F5"/>
        <color rgb="FFFFFF00"/>
      </colorScale>
    </cfRule>
  </conditionalFormatting>
  <conditionalFormatting sqref="V52:Z61">
    <cfRule type="colorScale" priority="29">
      <colorScale>
        <cfvo type="min"/>
        <cfvo type="percentile" val="50"/>
        <cfvo type="max"/>
        <color rgb="FFFFA500"/>
        <color rgb="FFF5F5F5"/>
        <color rgb="FFFFFF00"/>
      </colorScale>
    </cfRule>
  </conditionalFormatting>
  <conditionalFormatting sqref="AB41:AL48">
    <cfRule type="colorScale" priority="30">
      <colorScale>
        <cfvo type="min"/>
        <cfvo type="percentile" val="50"/>
        <cfvo type="max"/>
        <color rgb="FFFFA500"/>
        <color rgb="FFF5F5F5"/>
        <color rgb="FFFFFF00"/>
      </colorScale>
    </cfRule>
  </conditionalFormatting>
  <conditionalFormatting sqref="AB50:AL57">
    <cfRule type="colorScale" priority="31">
      <colorScale>
        <cfvo type="min"/>
        <cfvo type="percentile" val="50"/>
        <cfvo type="max"/>
        <color rgb="FFFFA500"/>
        <color rgb="FFF5F5F5"/>
        <color rgb="FFFFFF00"/>
      </colorScale>
    </cfRule>
  </conditionalFormatting>
  <conditionalFormatting sqref="AN41:AV50">
    <cfRule type="colorScale" priority="32">
      <colorScale>
        <cfvo type="min"/>
        <cfvo type="percentile" val="50"/>
        <cfvo type="max"/>
        <color rgb="FFFFA500"/>
        <color rgb="FFF5F5F5"/>
        <color rgb="FFFFFF00"/>
      </colorScale>
    </cfRule>
  </conditionalFormatting>
  <conditionalFormatting sqref="AN52:AV61">
    <cfRule type="colorScale" priority="33">
      <colorScale>
        <cfvo type="min"/>
        <cfvo type="percentile" val="50"/>
        <cfvo type="max"/>
        <color rgb="FFFFA500"/>
        <color rgb="FFF5F5F5"/>
        <color rgb="FFFFFF00"/>
      </colorScale>
    </cfRule>
  </conditionalFormatting>
  <conditionalFormatting sqref="BE39:BP40">
    <cfRule type="colorScale" priority="34">
      <colorScale>
        <cfvo type="min"/>
        <cfvo type="percentile" val="50"/>
        <cfvo type="max"/>
        <color rgb="FFDCEBFF"/>
        <color rgb="FFF5F5F5"/>
        <color rgb="FFFFB38A"/>
      </colorScale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803B3-6632-0948-A9D3-DB98D0211E79}">
  <sheetPr codeName="Sheet3">
    <tabColor rgb="FFFF0000"/>
    <pageSetUpPr fitToPage="1"/>
  </sheetPr>
  <dimension ref="A1:CJ73"/>
  <sheetViews>
    <sheetView showGridLines="0" showRowColHeaders="0" zoomScale="43" zoomScaleNormal="58" workbookViewId="0">
      <selection activeCell="Q45" sqref="Q45:U45"/>
    </sheetView>
  </sheetViews>
  <sheetFormatPr baseColWidth="10" defaultColWidth="3.33203125" defaultRowHeight="18" customHeight="1" x14ac:dyDescent="0.2"/>
  <cols>
    <col min="1" max="1" width="3.33203125" style="3"/>
    <col min="2" max="2" width="3.33203125" style="2" customWidth="1"/>
    <col min="3" max="8" width="3.33203125" style="3" customWidth="1"/>
    <col min="9" max="9" width="3.33203125" style="3"/>
    <col min="10" max="15" width="3.33203125" style="3" customWidth="1"/>
    <col min="16" max="16" width="3.33203125" style="3"/>
    <col min="17" max="17" width="3.33203125" style="3" customWidth="1"/>
    <col min="18" max="23" width="3.33203125" style="3"/>
    <col min="24" max="29" width="3.33203125" style="3" customWidth="1"/>
    <col min="30" max="30" width="3.33203125" style="3"/>
    <col min="31" max="36" width="3.33203125" style="3" customWidth="1"/>
    <col min="37" max="37" width="3.33203125" style="3"/>
    <col min="38" max="43" width="3.33203125" style="3" customWidth="1"/>
    <col min="44" max="44" width="3.33203125" style="3"/>
    <col min="45" max="50" width="3.33203125" style="3" customWidth="1"/>
    <col min="51" max="51" width="3.33203125" style="3"/>
    <col min="52" max="55" width="3.33203125" style="3" customWidth="1"/>
    <col min="56" max="57" width="3.33203125" style="1" customWidth="1"/>
    <col min="58" max="58" width="3.33203125" style="1"/>
    <col min="59" max="59" width="3.33203125" style="1" customWidth="1"/>
    <col min="60" max="65" width="3.33203125" style="1"/>
    <col min="66" max="70" width="3.33203125" style="3" customWidth="1"/>
    <col min="71" max="71" width="3.33203125" style="3"/>
    <col min="72" max="77" width="3.33203125" style="1" customWidth="1"/>
    <col min="78" max="78" width="3.33203125" style="1"/>
    <col min="79" max="81" width="3.33203125" style="1" customWidth="1"/>
    <col min="82" max="88" width="3.33203125" style="1"/>
    <col min="89" max="16384" width="3.33203125" style="3"/>
  </cols>
  <sheetData>
    <row r="1" spans="1:86" s="1" customFormat="1" ht="30" customHeight="1" thickBot="1" x14ac:dyDescent="0.25">
      <c r="A1" s="70"/>
      <c r="B1" s="71"/>
      <c r="C1" s="72" t="s">
        <v>92</v>
      </c>
      <c r="D1" s="67" t="s">
        <v>26</v>
      </c>
      <c r="E1" s="68"/>
      <c r="F1" s="69"/>
      <c r="G1" s="66"/>
      <c r="H1" s="66"/>
      <c r="I1" s="3"/>
      <c r="J1" s="3">
        <f ca="1">OFFSET(Helper!J13,0,1)</f>
        <v>2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73" t="s">
        <v>91</v>
      </c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5"/>
      <c r="AL1" s="75"/>
      <c r="AM1" s="76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N1" s="3"/>
      <c r="BO1" s="3"/>
      <c r="BP1" s="3"/>
      <c r="BQ1" s="3"/>
      <c r="BR1" s="3"/>
      <c r="BS1" s="3"/>
    </row>
    <row r="2" spans="1:86" s="1" customFormat="1" ht="18" customHeight="1" x14ac:dyDescent="0.2">
      <c r="A2" s="24"/>
      <c r="B2" s="25"/>
      <c r="C2" s="201">
        <v>0</v>
      </c>
      <c r="D2" s="201"/>
      <c r="E2" s="201"/>
      <c r="F2" s="201"/>
      <c r="G2" s="201"/>
      <c r="H2" s="25"/>
      <c r="I2" s="25"/>
      <c r="J2" s="201">
        <v>1</v>
      </c>
      <c r="K2" s="201"/>
      <c r="L2" s="201"/>
      <c r="M2" s="201"/>
      <c r="N2" s="201"/>
      <c r="O2" s="25"/>
      <c r="P2" s="25"/>
      <c r="Q2" s="201">
        <v>2</v>
      </c>
      <c r="R2" s="201"/>
      <c r="S2" s="201"/>
      <c r="T2" s="201"/>
      <c r="U2" s="201"/>
      <c r="V2" s="25"/>
      <c r="W2" s="25"/>
      <c r="X2" s="201">
        <v>3</v>
      </c>
      <c r="Y2" s="201"/>
      <c r="Z2" s="201"/>
      <c r="AA2" s="201"/>
      <c r="AB2" s="201"/>
      <c r="AC2" s="25"/>
      <c r="AD2" s="25"/>
      <c r="AE2" s="201">
        <v>4</v>
      </c>
      <c r="AF2" s="201"/>
      <c r="AG2" s="201"/>
      <c r="AH2" s="201"/>
      <c r="AI2" s="201"/>
      <c r="AJ2" s="25"/>
      <c r="AK2" s="25"/>
      <c r="AL2" s="201">
        <v>5</v>
      </c>
      <c r="AM2" s="201"/>
      <c r="AN2" s="201"/>
      <c r="AO2" s="201"/>
      <c r="AP2" s="201"/>
      <c r="AQ2" s="25"/>
      <c r="AR2" s="25"/>
      <c r="AS2" s="201">
        <v>6</v>
      </c>
      <c r="AT2" s="201"/>
      <c r="AU2" s="201"/>
      <c r="AV2" s="201"/>
      <c r="AW2" s="201"/>
      <c r="AX2" s="25"/>
      <c r="AY2" s="25"/>
      <c r="AZ2" s="201">
        <v>7</v>
      </c>
      <c r="BA2" s="201"/>
      <c r="BB2" s="201"/>
      <c r="BC2" s="201"/>
      <c r="BD2" s="201"/>
      <c r="BE2" s="25"/>
      <c r="BF2" s="25"/>
      <c r="BG2" s="201">
        <v>8</v>
      </c>
      <c r="BH2" s="201"/>
      <c r="BI2" s="201"/>
      <c r="BJ2" s="201"/>
      <c r="BK2" s="201"/>
      <c r="BL2" s="25"/>
      <c r="BM2" s="25"/>
      <c r="BN2" s="201">
        <v>9</v>
      </c>
      <c r="BO2" s="201"/>
      <c r="BP2" s="201"/>
      <c r="BQ2" s="201"/>
      <c r="BR2" s="201"/>
      <c r="BS2" s="25"/>
      <c r="BT2" s="26"/>
      <c r="BU2" s="201">
        <v>10</v>
      </c>
      <c r="BV2" s="201"/>
      <c r="BW2" s="201"/>
      <c r="BX2" s="201"/>
      <c r="BY2" s="201"/>
      <c r="BZ2" s="26"/>
      <c r="CA2" s="27"/>
      <c r="CC2" s="50"/>
      <c r="CD2" s="50"/>
      <c r="CE2" s="51" t="s">
        <v>8</v>
      </c>
      <c r="CF2" s="50"/>
      <c r="CG2" s="50"/>
      <c r="CH2" s="50"/>
    </row>
    <row r="3" spans="1:86" s="1" customFormat="1" ht="18" customHeight="1" thickBot="1" x14ac:dyDescent="0.25">
      <c r="A3" s="7"/>
      <c r="B3" s="202">
        <v>0</v>
      </c>
      <c r="C3" s="200" t="s">
        <v>9</v>
      </c>
      <c r="D3" s="200"/>
      <c r="E3" s="200"/>
      <c r="F3" s="200"/>
      <c r="G3" s="200"/>
      <c r="H3" s="28"/>
      <c r="I3" s="28"/>
      <c r="J3" s="200" t="str" cm="1">
        <f t="array" aca="1" ref="J3" ca="1">INDEX(Helper!$E$13:$E$22, OFFSET(Helper!$J$13,$B3,J$2))</f>
        <v>Vertical Flip</v>
      </c>
      <c r="K3" s="200"/>
      <c r="L3" s="200"/>
      <c r="M3" s="200"/>
      <c r="N3" s="200"/>
      <c r="O3" s="3"/>
      <c r="P3" s="28"/>
      <c r="Q3" s="200" t="str" cm="1">
        <f t="array" aca="1" ref="Q3" ca="1">INDEX(Helper!$E$13:$E$22, OFFSET(Helper!$J$13,$B3,Q$2))</f>
        <v>Shift Right</v>
      </c>
      <c r="R3" s="200"/>
      <c r="S3" s="200"/>
      <c r="T3" s="200"/>
      <c r="U3" s="200"/>
      <c r="V3" s="3"/>
      <c r="W3" s="28"/>
      <c r="X3" s="200" t="str" cm="1">
        <f t="array" aca="1" ref="X3" ca="1">INDEX(Helper!$E$13:$E$22, OFFSET(Helper!$J$13,$B3,X$2))</f>
        <v>90 CCW</v>
      </c>
      <c r="Y3" s="200"/>
      <c r="Z3" s="200"/>
      <c r="AA3" s="200"/>
      <c r="AB3" s="200"/>
      <c r="AC3" s="3"/>
      <c r="AD3" s="28"/>
      <c r="AE3" s="200" t="str" cm="1">
        <f t="array" aca="1" ref="AE3" ca="1">INDEX(Helper!$E$13:$E$22, OFFSET(Helper!$J$13,$B3,AE$2))</f>
        <v>Shift Up</v>
      </c>
      <c r="AF3" s="200"/>
      <c r="AG3" s="200"/>
      <c r="AH3" s="200"/>
      <c r="AI3" s="200"/>
      <c r="AJ3" s="3"/>
      <c r="AK3" s="28"/>
      <c r="AL3" s="200" t="str" cm="1">
        <f t="array" aca="1" ref="AL3" ca="1">INDEX(Helper!$E$13:$E$22, OFFSET(Helper!$J$13,$B3,AL$2))</f>
        <v>Shift Down</v>
      </c>
      <c r="AM3" s="200"/>
      <c r="AN3" s="200"/>
      <c r="AO3" s="200"/>
      <c r="AP3" s="200"/>
      <c r="AQ3" s="3"/>
      <c r="AR3" s="28"/>
      <c r="AS3" s="200" t="str" cm="1">
        <f t="array" aca="1" ref="AS3" ca="1">INDEX(Helper!$E$13:$E$22, OFFSET(Helper!$J$13,$B3,AS$2))</f>
        <v>Shift Left</v>
      </c>
      <c r="AT3" s="200"/>
      <c r="AU3" s="200"/>
      <c r="AV3" s="200"/>
      <c r="AW3" s="200"/>
      <c r="AX3" s="3"/>
      <c r="AY3" s="28"/>
      <c r="AZ3" s="200" t="str" cm="1">
        <f t="array" aca="1" ref="AZ3" ca="1">INDEX(Helper!$E$13:$E$22, OFFSET(Helper!$J$13,$B3,AZ$2))</f>
        <v>180 Rotation</v>
      </c>
      <c r="BA3" s="200"/>
      <c r="BB3" s="200"/>
      <c r="BC3" s="200"/>
      <c r="BD3" s="200"/>
      <c r="BE3" s="3"/>
      <c r="BF3" s="28"/>
      <c r="BG3" s="200" t="str" cm="1">
        <f t="array" aca="1" ref="BG3" ca="1">INDEX(Helper!$E$13:$E$22, OFFSET(Helper!$J$13,$B3,BG$2))</f>
        <v>Noise</v>
      </c>
      <c r="BH3" s="200"/>
      <c r="BI3" s="200"/>
      <c r="BJ3" s="200"/>
      <c r="BK3" s="200"/>
      <c r="BL3" s="3"/>
      <c r="BM3" s="28"/>
      <c r="BN3" s="200" t="str" cm="1">
        <f t="array" aca="1" ref="BN3" ca="1">INDEX(Helper!$E$13:$E$22, OFFSET(Helper!$J$13,$B3,BN$2))</f>
        <v>Horizontal Flip</v>
      </c>
      <c r="BO3" s="200"/>
      <c r="BP3" s="200"/>
      <c r="BQ3" s="200"/>
      <c r="BR3" s="200"/>
      <c r="BS3" s="3"/>
      <c r="BU3" s="200" t="str" cm="1">
        <f t="array" aca="1" ref="BU3" ca="1">INDEX(Helper!$E$13:$E$22, OFFSET(Helper!$J$13,$B3,BU$2))</f>
        <v>90 CW</v>
      </c>
      <c r="BV3" s="200"/>
      <c r="BW3" s="200"/>
      <c r="BX3" s="200"/>
      <c r="BY3" s="200"/>
      <c r="CA3" s="29"/>
      <c r="CC3" s="56"/>
      <c r="CD3" s="57" t="s">
        <v>10</v>
      </c>
      <c r="CE3" s="52">
        <v>10</v>
      </c>
      <c r="CF3" s="53"/>
      <c r="CG3" s="53"/>
      <c r="CH3" s="53"/>
    </row>
    <row r="4" spans="1:86" s="1" customFormat="1" ht="18" customHeight="1" x14ac:dyDescent="0.2">
      <c r="A4" s="7"/>
      <c r="B4" s="202"/>
      <c r="C4" s="4">
        <v>0.19397268734601947</v>
      </c>
      <c r="D4" s="5">
        <v>1</v>
      </c>
      <c r="E4" s="5">
        <v>1</v>
      </c>
      <c r="F4" s="5">
        <v>1</v>
      </c>
      <c r="G4" s="6">
        <v>0.23189843539738109</v>
      </c>
      <c r="H4" s="3"/>
      <c r="I4" s="3"/>
      <c r="J4" s="4" cm="1">
        <f t="array" aca="1" ref="J4:N8" ca="1">_xlfn.IFS(J3="None",  $C4:$G8*0,           J3="Horizontal Flip", INDEX($C4:$G8, _xlfn.SEQUENCE(5), 6 - _xlfn.SEQUENCE(1,5)),        J3="Vertical Flip", INDEX($C4:$G8, 6 - _xlfn.SEQUENCE(5), _xlfn.SEQUENCE(1,5)),      J3="180 Rotation", INDEX($C4:$G8, 6 - _xlfn.SEQUENCE(5), 6 - _xlfn.SEQUENCE(1,5)),        J3="90 CW", INDEX($C4:$G8, 6 - _xlfn.SEQUENCE(1,5), _xlfn.SEQUENCE(5)),          J3="90 CCW", INDEX($C4:$G8, _xlfn.SEQUENCE(1,5), 6 - _xlfn.SEQUENCE(5)),         J3="Shift Up", IF(_xlfn.SEQUENCE(5)+1&lt;=5, INDEX($C4:$G8, _xlfn.SEQUENCE(5)+1, _xlfn.SEQUENCE(1,5)), 0),         J3="Shift Down", IF(_xlfn.SEQUENCE(5)-1&gt;=1, INDEX($C4:$G8, _xlfn.SEQUENCE(5)-1, _xlfn.SEQUENCE(1,5)), 0),         J3="Shift Left",   IF(_xlfn.SEQUENCE(1,5)+1&lt;=5, INDEX($C4:$G8, _xlfn.SEQUENCE(5), _xlfn.SEQUENCE(1,5)+1),0),         J3= "Shift Right",  IF(_xlfn.SEQUENCE(1,5)-1&gt;=1, INDEX($C4:$G8, _xlfn.SEQUENCE(5), _xlfn.SEQUENCE(1,5)-1), 0),        J3="Noise",  _xlfn.MAP($C4:$G8 + (_xlfn.RANDARRAY(ROWS($C4:$G8), COLUMNS($C4:$G8)) - 0.5) * 0.4, _xlfn.LAMBDA(_xlpm.x, MAX(0, MIN(1, _xlpm.x)))))</f>
        <v>0.63892938486000916</v>
      </c>
      <c r="K4" s="5">
        <f ca="1"/>
        <v>0.38883352858279174</v>
      </c>
      <c r="L4" s="5">
        <f ca="1"/>
        <v>0.61593869529044076</v>
      </c>
      <c r="M4" s="5">
        <f ca="1"/>
        <v>0.64781383089559441</v>
      </c>
      <c r="N4" s="6">
        <f ca="1"/>
        <v>0.22260189188168822</v>
      </c>
      <c r="O4" s="3"/>
      <c r="P4" s="3"/>
      <c r="Q4" s="4" cm="1">
        <f t="array" aca="1" ref="Q4:U8" ca="1">_xlfn.IFS(Q3="None",  $C4:$G8*0,           Q3="Horizontal Flip", INDEX($C4:$G8, _xlfn.SEQUENCE(5), 6 - _xlfn.SEQUENCE(1,5)),        Q3="Vertical Flip", INDEX($C4:$G8, 6 - _xlfn.SEQUENCE(5), _xlfn.SEQUENCE(1,5)),      Q3="180 Rotation", INDEX($C4:$G8, 6 - _xlfn.SEQUENCE(5), 6 - _xlfn.SEQUENCE(1,5)),        Q3="90 CW", INDEX($C4:$G8, 6 - _xlfn.SEQUENCE(1,5), _xlfn.SEQUENCE(5)),          Q3="90 CCW", INDEX($C4:$G8, _xlfn.SEQUENCE(1,5), 6 - _xlfn.SEQUENCE(5)),         Q3="Shift Up", IF(_xlfn.SEQUENCE(5)+1&lt;=5, INDEX($C4:$G8, _xlfn.SEQUENCE(5)+1, _xlfn.SEQUENCE(1,5)), 0),         Q3="Shift Down", IF(_xlfn.SEQUENCE(5)-1&gt;=1, INDEX($C4:$G8, _xlfn.SEQUENCE(5)-1, _xlfn.SEQUENCE(1,5)), 0),         Q3="Shift Left",   IF(_xlfn.SEQUENCE(1,5)+1&lt;=5, INDEX($C4:$G8, _xlfn.SEQUENCE(5), _xlfn.SEQUENCE(1,5)+1),0),         Q3= "Shift Right",  IF(_xlfn.SEQUENCE(1,5)-1&gt;=1, INDEX($C4:$G8, _xlfn.SEQUENCE(5), _xlfn.SEQUENCE(1,5)-1), 0),        Q3="Noise",  _xlfn.MAP($C4:$G8 + (_xlfn.RANDARRAY(ROWS($C4:$G8), COLUMNS($C4:$G8)) - 0.5) * 0.4, _xlfn.LAMBDA(_xlpm.x, MAX(0, MIN(1, _xlpm.x)))))</f>
        <v>0</v>
      </c>
      <c r="R4" s="5">
        <f ca="1"/>
        <v>0.19397268734601947</v>
      </c>
      <c r="S4" s="5">
        <f ca="1"/>
        <v>1</v>
      </c>
      <c r="T4" s="5">
        <f ca="1"/>
        <v>1</v>
      </c>
      <c r="U4" s="6">
        <f ca="1"/>
        <v>1</v>
      </c>
      <c r="V4" s="3"/>
      <c r="W4" s="3"/>
      <c r="X4" s="4" cm="1">
        <f t="array" aca="1" ref="X4:AB8" ca="1">_xlfn.IFS(X3="None",  $C4:$G8*0,           X3="Horizontal Flip", INDEX($C4:$G8, _xlfn.SEQUENCE(5), 6 - _xlfn.SEQUENCE(1,5)),        X3="Vertical Flip", INDEX($C4:$G8, 6 - _xlfn.SEQUENCE(5), _xlfn.SEQUENCE(1,5)),      X3="180 Rotation", INDEX($C4:$G8, 6 - _xlfn.SEQUENCE(5), 6 - _xlfn.SEQUENCE(1,5)),        X3="90 CW", INDEX($C4:$G8, 6 - _xlfn.SEQUENCE(1,5), _xlfn.SEQUENCE(5)),          X3="90 CCW", INDEX($C4:$G8, _xlfn.SEQUENCE(1,5), 6 - _xlfn.SEQUENCE(5)),         X3="Shift Up", IF(_xlfn.SEQUENCE(5)+1&lt;=5, INDEX($C4:$G8, _xlfn.SEQUENCE(5)+1, _xlfn.SEQUENCE(1,5)), 0),         X3="Shift Down", IF(_xlfn.SEQUENCE(5)-1&gt;=1, INDEX($C4:$G8, _xlfn.SEQUENCE(5)-1, _xlfn.SEQUENCE(1,5)), 0),         X3="Shift Left",   IF(_xlfn.SEQUENCE(1,5)+1&lt;=5, INDEX($C4:$G8, _xlfn.SEQUENCE(5), _xlfn.SEQUENCE(1,5)+1),0),         X3= "Shift Right",  IF(_xlfn.SEQUENCE(1,5)-1&gt;=1, INDEX($C4:$G8, _xlfn.SEQUENCE(5), _xlfn.SEQUENCE(1,5)-1), 0),        X3="Noise",  _xlfn.MAP($C4:$G8 + (_xlfn.RANDARRAY(ROWS($C4:$G8), COLUMNS($C4:$G8)) - 0.5) * 0.4, _xlfn.LAMBDA(_xlpm.x, MAX(0, MIN(1, _xlpm.x)))))</f>
        <v>0.23189843539738109</v>
      </c>
      <c r="Y4" s="5">
        <f ca="1"/>
        <v>0.20412302298094787</v>
      </c>
      <c r="Z4" s="5">
        <f ca="1"/>
        <v>0.35168989469336853</v>
      </c>
      <c r="AA4" s="5">
        <f ca="1"/>
        <v>0.5304013929202761</v>
      </c>
      <c r="AB4" s="6">
        <f ca="1"/>
        <v>0.22260189188168822</v>
      </c>
      <c r="AC4" s="3"/>
      <c r="AD4" s="3"/>
      <c r="AE4" s="4" cm="1">
        <f t="array" aca="1" ref="AE4:AI8" ca="1">_xlfn.IFS(AE3="None",  $C4:$G8*0,           AE3="Horizontal Flip", INDEX($C4:$G8, _xlfn.SEQUENCE(5), 6 - _xlfn.SEQUENCE(1,5)),        AE3="Vertical Flip", INDEX($C4:$G8, 6 - _xlfn.SEQUENCE(5), _xlfn.SEQUENCE(1,5)),      AE3="180 Rotation", INDEX($C4:$G8, 6 - _xlfn.SEQUENCE(5), 6 - _xlfn.SEQUENCE(1,5)),        AE3="90 CW", INDEX($C4:$G8, 6 - _xlfn.SEQUENCE(1,5), _xlfn.SEQUENCE(5)),          AE3="90 CCW", INDEX($C4:$G8, _xlfn.SEQUENCE(1,5), 6 - _xlfn.SEQUENCE(5)),         AE3="Shift Up", IF(_xlfn.SEQUENCE(5)+1&lt;=5, INDEX($C4:$G8, _xlfn.SEQUENCE(5)+1, _xlfn.SEQUENCE(1,5)), 0),         AE3="Shift Down", IF(_xlfn.SEQUENCE(5)-1&gt;=1, INDEX($C4:$G8, _xlfn.SEQUENCE(5)-1, _xlfn.SEQUENCE(1,5)), 0),         AE3="Shift Left",   IF(_xlfn.SEQUENCE(1,5)+1&lt;=5, INDEX($C4:$G8, _xlfn.SEQUENCE(5), _xlfn.SEQUENCE(1,5)+1),0),         AE3= "Shift Right",  IF(_xlfn.SEQUENCE(1,5)-1&gt;=1, INDEX($C4:$G8, _xlfn.SEQUENCE(5), _xlfn.SEQUENCE(1,5)-1), 0),        AE3="Noise",  _xlfn.MAP($C4:$G8 + (_xlfn.RANDARRAY(ROWS($C4:$G8), COLUMNS($C4:$G8)) - 0.5) * 0.4, _xlfn.LAMBDA(_xlpm.x, MAX(0, MIN(1, _xlpm.x)))))</f>
        <v>0.62984699181888459</v>
      </c>
      <c r="AF4" s="5">
        <f ca="1"/>
        <v>1</v>
      </c>
      <c r="AG4" s="5">
        <f ca="1"/>
        <v>0.29821821441268659</v>
      </c>
      <c r="AH4" s="5">
        <f ca="1"/>
        <v>1</v>
      </c>
      <c r="AI4" s="6">
        <f ca="1"/>
        <v>0.20412302298094787</v>
      </c>
      <c r="AJ4" s="3"/>
      <c r="AK4" s="3"/>
      <c r="AL4" s="4" cm="1">
        <f t="array" aca="1" ref="AL4:AP8" ca="1">_xlfn.IFS(AL3="None",  $C4:$G8*0,           AL3="Horizontal Flip", INDEX($C4:$G8, _xlfn.SEQUENCE(5), 6 - _xlfn.SEQUENCE(1,5)),        AL3="Vertical Flip", INDEX($C4:$G8, 6 - _xlfn.SEQUENCE(5), _xlfn.SEQUENCE(1,5)),      AL3="180 Rotation", INDEX($C4:$G8, 6 - _xlfn.SEQUENCE(5), 6 - _xlfn.SEQUENCE(1,5)),        AL3="90 CW", INDEX($C4:$G8, 6 - _xlfn.SEQUENCE(1,5), _xlfn.SEQUENCE(5)),          AL3="90 CCW", INDEX($C4:$G8, _xlfn.SEQUENCE(1,5), 6 - _xlfn.SEQUENCE(5)),         AL3="Shift Up", IF(_xlfn.SEQUENCE(5)+1&lt;=5, INDEX($C4:$G8, _xlfn.SEQUENCE(5)+1, _xlfn.SEQUENCE(1,5)), 0),         AL3="Shift Down", IF(_xlfn.SEQUENCE(5)-1&gt;=1, INDEX($C4:$G8, _xlfn.SEQUENCE(5)-1, _xlfn.SEQUENCE(1,5)), 0),         AL3="Shift Left",   IF(_xlfn.SEQUENCE(1,5)+1&lt;=5, INDEX($C4:$G8, _xlfn.SEQUENCE(5), _xlfn.SEQUENCE(1,5)+1),0),         AL3= "Shift Right",  IF(_xlfn.SEQUENCE(1,5)-1&gt;=1, INDEX($C4:$G8, _xlfn.SEQUENCE(5), _xlfn.SEQUENCE(1,5)-1), 0),        AL3="Noise",  _xlfn.MAP($C4:$G8 + (_xlfn.RANDARRAY(ROWS($C4:$G8), COLUMNS($C4:$G8)) - 0.5) * 0.4, _xlfn.LAMBDA(_xlpm.x, MAX(0, MIN(1, _xlpm.x)))))</f>
        <v>0</v>
      </c>
      <c r="AM4" s="5">
        <f ca="1"/>
        <v>0</v>
      </c>
      <c r="AN4" s="5">
        <f ca="1"/>
        <v>0</v>
      </c>
      <c r="AO4" s="5">
        <f ca="1"/>
        <v>0</v>
      </c>
      <c r="AP4" s="6">
        <f ca="1"/>
        <v>0</v>
      </c>
      <c r="AQ4" s="3"/>
      <c r="AR4" s="3"/>
      <c r="AS4" s="4" cm="1">
        <f t="array" aca="1" ref="AS4:AW8" ca="1">_xlfn.IFS(AS3="None",  $C4:$G8*0,           AS3="Horizontal Flip", INDEX($C4:$G8, _xlfn.SEQUENCE(5), 6 - _xlfn.SEQUENCE(1,5)),        AS3="Vertical Flip", INDEX($C4:$G8, 6 - _xlfn.SEQUENCE(5), _xlfn.SEQUENCE(1,5)),      AS3="180 Rotation", INDEX($C4:$G8, 6 - _xlfn.SEQUENCE(5), 6 - _xlfn.SEQUENCE(1,5)),        AS3="90 CW", INDEX($C4:$G8, 6 - _xlfn.SEQUENCE(1,5), _xlfn.SEQUENCE(5)),          AS3="90 CCW", INDEX($C4:$G8, _xlfn.SEQUENCE(1,5), 6 - _xlfn.SEQUENCE(5)),         AS3="Shift Up", IF(_xlfn.SEQUENCE(5)+1&lt;=5, INDEX($C4:$G8, _xlfn.SEQUENCE(5)+1, _xlfn.SEQUENCE(1,5)), 0),         AS3="Shift Down", IF(_xlfn.SEQUENCE(5)-1&gt;=1, INDEX($C4:$G8, _xlfn.SEQUENCE(5)-1, _xlfn.SEQUENCE(1,5)), 0),         AS3="Shift Left",   IF(_xlfn.SEQUENCE(1,5)+1&lt;=5, INDEX($C4:$G8, _xlfn.SEQUENCE(5), _xlfn.SEQUENCE(1,5)+1),0),         AS3= "Shift Right",  IF(_xlfn.SEQUENCE(1,5)-1&gt;=1, INDEX($C4:$G8, _xlfn.SEQUENCE(5), _xlfn.SEQUENCE(1,5)-1), 0),        AS3="Noise",  _xlfn.MAP($C4:$G8 + (_xlfn.RANDARRAY(ROWS($C4:$G8), COLUMNS($C4:$G8)) - 0.5) * 0.4, _xlfn.LAMBDA(_xlpm.x, MAX(0, MIN(1, _xlpm.x)))))</f>
        <v>1</v>
      </c>
      <c r="AT4" s="5">
        <f ca="1"/>
        <v>1</v>
      </c>
      <c r="AU4" s="5">
        <f ca="1"/>
        <v>1</v>
      </c>
      <c r="AV4" s="5">
        <f ca="1"/>
        <v>0.23189843539738109</v>
      </c>
      <c r="AW4" s="6">
        <f ca="1"/>
        <v>0</v>
      </c>
      <c r="AX4" s="3"/>
      <c r="AY4" s="3"/>
      <c r="AZ4" s="4" cm="1">
        <f t="array" aca="1" ref="AZ4:BD8" ca="1">_xlfn.IFS(AZ3="None",  $C4:$G8*0,           AZ3="Horizontal Flip", INDEX($C4:$G8, _xlfn.SEQUENCE(5), 6 - _xlfn.SEQUENCE(1,5)),        AZ3="Vertical Flip", INDEX($C4:$G8, 6 - _xlfn.SEQUENCE(5), _xlfn.SEQUENCE(1,5)),      AZ3="180 Rotation", INDEX($C4:$G8, 6 - _xlfn.SEQUENCE(5), 6 - _xlfn.SEQUENCE(1,5)),        AZ3="90 CW", INDEX($C4:$G8, 6 - _xlfn.SEQUENCE(1,5), _xlfn.SEQUENCE(5)),          AZ3="90 CCW", INDEX($C4:$G8, _xlfn.SEQUENCE(1,5), 6 - _xlfn.SEQUENCE(5)),         AZ3="Shift Up", IF(_xlfn.SEQUENCE(5)+1&lt;=5, INDEX($C4:$G8, _xlfn.SEQUENCE(5)+1, _xlfn.SEQUENCE(1,5)), 0),         AZ3="Shift Down", IF(_xlfn.SEQUENCE(5)-1&gt;=1, INDEX($C4:$G8, _xlfn.SEQUENCE(5)-1, _xlfn.SEQUENCE(1,5)), 0),         AZ3="Shift Left",   IF(_xlfn.SEQUENCE(1,5)+1&lt;=5, INDEX($C4:$G8, _xlfn.SEQUENCE(5), _xlfn.SEQUENCE(1,5)+1),0),         AZ3= "Shift Right",  IF(_xlfn.SEQUENCE(1,5)-1&gt;=1, INDEX($C4:$G8, _xlfn.SEQUENCE(5), _xlfn.SEQUENCE(1,5)-1), 0),        AZ3="Noise",  _xlfn.MAP($C4:$G8 + (_xlfn.RANDARRAY(ROWS($C4:$G8), COLUMNS($C4:$G8)) - 0.5) * 0.4, _xlfn.LAMBDA(_xlpm.x, MAX(0, MIN(1, _xlpm.x)))))</f>
        <v>0.22260189188168822</v>
      </c>
      <c r="BA4" s="5">
        <f ca="1"/>
        <v>0.64781383089559441</v>
      </c>
      <c r="BB4" s="5">
        <f ca="1"/>
        <v>0.61593869529044076</v>
      </c>
      <c r="BC4" s="5">
        <f ca="1"/>
        <v>0.38883352858279174</v>
      </c>
      <c r="BD4" s="6">
        <f ca="1"/>
        <v>0.63892938486000916</v>
      </c>
      <c r="BE4" s="3"/>
      <c r="BG4" s="4" cm="1">
        <f t="array" aca="1" ref="BG4:BK8" ca="1">_xlfn.IFS(BG3="None",  $C4:$G8*0,           BG3="Horizontal Flip", INDEX($C4:$G8, _xlfn.SEQUENCE(5), 6 - _xlfn.SEQUENCE(1,5)),        BG3="Vertical Flip", INDEX($C4:$G8, 6 - _xlfn.SEQUENCE(5), _xlfn.SEQUENCE(1,5)),      BG3="180 Rotation", INDEX($C4:$G8, 6 - _xlfn.SEQUENCE(5), 6 - _xlfn.SEQUENCE(1,5)),        BG3="90 CW", INDEX($C4:$G8, 6 - _xlfn.SEQUENCE(1,5), _xlfn.SEQUENCE(5)),          BG3="90 CCW", INDEX($C4:$G8, _xlfn.SEQUENCE(1,5), 6 - _xlfn.SEQUENCE(5)),         BG3="Shift Up", IF(_xlfn.SEQUENCE(5)+1&lt;=5, INDEX($C4:$G8, _xlfn.SEQUENCE(5)+1, _xlfn.SEQUENCE(1,5)), 0),         BG3="Shift Down", IF(_xlfn.SEQUENCE(5)-1&gt;=1, INDEX($C4:$G8, _xlfn.SEQUENCE(5)-1, _xlfn.SEQUENCE(1,5)), 0),         BG3="Shift Left",   IF(_xlfn.SEQUENCE(1,5)+1&lt;=5, INDEX($C4:$G8, _xlfn.SEQUENCE(5), _xlfn.SEQUENCE(1,5)+1),0),         BG3= "Shift Right",  IF(_xlfn.SEQUENCE(1,5)-1&gt;=1, INDEX($C4:$G8, _xlfn.SEQUENCE(5), _xlfn.SEQUENCE(1,5)-1), 0),        BG3="Noise",  _xlfn.MAP($C4:$G8 + (_xlfn.RANDARRAY(ROWS($C4:$G8), COLUMNS($C4:$G8)) - 0.5) * 0.4, _xlfn.LAMBDA(_xlpm.x, MAX(0, MIN(1, _xlpm.x)))))</f>
        <v>0.32016519411735311</v>
      </c>
      <c r="BH4" s="5">
        <f ca="1"/>
        <v>0.98942064972405119</v>
      </c>
      <c r="BI4" s="5">
        <f ca="1"/>
        <v>0.82067029738832287</v>
      </c>
      <c r="BJ4" s="5">
        <f ca="1"/>
        <v>1</v>
      </c>
      <c r="BK4" s="6">
        <f ca="1"/>
        <v>0.19012908355574781</v>
      </c>
      <c r="BL4" s="3"/>
      <c r="BM4" s="3"/>
      <c r="BN4" s="4" cm="1">
        <f t="array" aca="1" ref="BN4:BR8" ca="1">_xlfn.IFS(BN3="None",  $C4:$G8*0,           BN3="Horizontal Flip", INDEX($C4:$G8, _xlfn.SEQUENCE(5), 6 - _xlfn.SEQUENCE(1,5)),        BN3="Vertical Flip", INDEX($C4:$G8, 6 - _xlfn.SEQUENCE(5), _xlfn.SEQUENCE(1,5)),      BN3="180 Rotation", INDEX($C4:$G8, 6 - _xlfn.SEQUENCE(5), 6 - _xlfn.SEQUENCE(1,5)),        BN3="90 CW", INDEX($C4:$G8, 6 - _xlfn.SEQUENCE(1,5), _xlfn.SEQUENCE(5)),          BN3="90 CCW", INDEX($C4:$G8, _xlfn.SEQUENCE(1,5), 6 - _xlfn.SEQUENCE(5)),         BN3="Shift Up", IF(_xlfn.SEQUENCE(5)+1&lt;=5, INDEX($C4:$G8, _xlfn.SEQUENCE(5)+1, _xlfn.SEQUENCE(1,5)), 0),         BN3="Shift Down", IF(_xlfn.SEQUENCE(5)-1&gt;=1, INDEX($C4:$G8, _xlfn.SEQUENCE(5)-1, _xlfn.SEQUENCE(1,5)), 0),         BN3="Shift Left",   IF(_xlfn.SEQUENCE(1,5)+1&lt;=5, INDEX($C4:$G8, _xlfn.SEQUENCE(5), _xlfn.SEQUENCE(1,5)+1),0),         BN3= "Shift Right",  IF(_xlfn.SEQUENCE(1,5)-1&gt;=1, INDEX($C4:$G8, _xlfn.SEQUENCE(5), _xlfn.SEQUENCE(1,5)-1), 0),        BN3="Noise",  _xlfn.MAP($C4:$G8 + (_xlfn.RANDARRAY(ROWS($C4:$G8), COLUMNS($C4:$G8)) - 0.5) * 0.4, _xlfn.LAMBDA(_xlpm.x, MAX(0, MIN(1, _xlpm.x)))))</f>
        <v>0.23189843539738109</v>
      </c>
      <c r="BO4" s="5">
        <f ca="1"/>
        <v>1</v>
      </c>
      <c r="BP4" s="5">
        <f ca="1"/>
        <v>1</v>
      </c>
      <c r="BQ4" s="5">
        <f ca="1"/>
        <v>1</v>
      </c>
      <c r="BR4" s="6">
        <f ca="1"/>
        <v>0.19397268734601947</v>
      </c>
      <c r="BS4" s="3"/>
      <c r="BU4" s="4" cm="1">
        <f t="array" aca="1" ref="BU4:BY8" ca="1">_xlfn.IFS(BU3="None",  $C4:$G8*0,           BU3="Horizontal Flip", INDEX($C4:$G8, _xlfn.SEQUENCE(5), 6 - _xlfn.SEQUENCE(1,5)),        BU3="Vertical Flip", INDEX($C4:$G8, 6 - _xlfn.SEQUENCE(5), _xlfn.SEQUENCE(1,5)),      BU3="180 Rotation", INDEX($C4:$G8, 6 - _xlfn.SEQUENCE(5), 6 - _xlfn.SEQUENCE(1,5)),        BU3="90 CW", INDEX($C4:$G8, 6 - _xlfn.SEQUENCE(1,5), _xlfn.SEQUENCE(5)),          BU3="90 CCW", INDEX($C4:$G8, _xlfn.SEQUENCE(1,5), 6 - _xlfn.SEQUENCE(5)),         BU3="Shift Up", IF(_xlfn.SEQUENCE(5)+1&lt;=5, INDEX($C4:$G8, _xlfn.SEQUENCE(5)+1, _xlfn.SEQUENCE(1,5)), 0),         BU3="Shift Down", IF(_xlfn.SEQUENCE(5)-1&gt;=1, INDEX($C4:$G8, _xlfn.SEQUENCE(5)-1, _xlfn.SEQUENCE(1,5)), 0),         BU3="Shift Left",   IF(_xlfn.SEQUENCE(1,5)+1&lt;=5, INDEX($C4:$G8, _xlfn.SEQUENCE(5), _xlfn.SEQUENCE(1,5)+1),0),         BU3= "Shift Right",  IF(_xlfn.SEQUENCE(1,5)-1&gt;=1, INDEX($C4:$G8, _xlfn.SEQUENCE(5), _xlfn.SEQUENCE(1,5)-1), 0),        BU3="Noise",  _xlfn.MAP($C4:$G8 + (_xlfn.RANDARRAY(ROWS($C4:$G8), COLUMNS($C4:$G8)) - 0.5) * 0.4, _xlfn.LAMBDA(_xlpm.x, MAX(0, MIN(1, _xlpm.x)))))</f>
        <v>0.63892938486000916</v>
      </c>
      <c r="BV4" s="5">
        <f ca="1"/>
        <v>0.5734765356210334</v>
      </c>
      <c r="BW4" s="5">
        <f ca="1"/>
        <v>0.58778718612041947</v>
      </c>
      <c r="BX4" s="5">
        <f ca="1"/>
        <v>0.62984699181888459</v>
      </c>
      <c r="BY4" s="6">
        <f ca="1"/>
        <v>0.19397268734601947</v>
      </c>
      <c r="CA4" s="29"/>
      <c r="CC4" s="56"/>
      <c r="CD4" s="57" t="s">
        <v>11</v>
      </c>
      <c r="CE4" s="52" t="s">
        <v>12</v>
      </c>
      <c r="CF4" s="53"/>
      <c r="CG4" s="53"/>
      <c r="CH4" s="53"/>
    </row>
    <row r="5" spans="1:86" s="1" customFormat="1" ht="18" customHeight="1" x14ac:dyDescent="0.2">
      <c r="A5" s="7"/>
      <c r="B5" s="202"/>
      <c r="C5" s="7">
        <v>0.62984699181888459</v>
      </c>
      <c r="D5" s="3">
        <v>1</v>
      </c>
      <c r="E5" s="3">
        <v>0.29821821441268659</v>
      </c>
      <c r="F5" s="3">
        <v>1</v>
      </c>
      <c r="G5" s="8">
        <v>0.20412302298094787</v>
      </c>
      <c r="H5" s="3"/>
      <c r="I5" s="3"/>
      <c r="J5" s="7">
        <f ca="1"/>
        <v>0.5734765356210334</v>
      </c>
      <c r="K5" s="3">
        <f ca="1"/>
        <v>1</v>
      </c>
      <c r="L5" s="3">
        <f ca="1"/>
        <v>1</v>
      </c>
      <c r="M5" s="3">
        <f ca="1"/>
        <v>1</v>
      </c>
      <c r="N5" s="8">
        <f ca="1"/>
        <v>0.5304013929202761</v>
      </c>
      <c r="O5" s="3"/>
      <c r="P5" s="3"/>
      <c r="Q5" s="7">
        <f ca="1"/>
        <v>0</v>
      </c>
      <c r="R5" s="3">
        <f ca="1"/>
        <v>0.62984699181888459</v>
      </c>
      <c r="S5" s="3">
        <f ca="1"/>
        <v>1</v>
      </c>
      <c r="T5" s="3">
        <f ca="1"/>
        <v>0.29821821441268659</v>
      </c>
      <c r="U5" s="8">
        <f ca="1"/>
        <v>1</v>
      </c>
      <c r="V5" s="3"/>
      <c r="W5" s="3"/>
      <c r="X5" s="7">
        <f ca="1"/>
        <v>1</v>
      </c>
      <c r="Y5" s="3">
        <f ca="1"/>
        <v>1</v>
      </c>
      <c r="Z5" s="3">
        <f ca="1"/>
        <v>1</v>
      </c>
      <c r="AA5" s="3">
        <f ca="1"/>
        <v>1</v>
      </c>
      <c r="AB5" s="8">
        <f ca="1"/>
        <v>0.64781383089559441</v>
      </c>
      <c r="AC5" s="3"/>
      <c r="AD5" s="3"/>
      <c r="AE5" s="7">
        <f ca="1"/>
        <v>0.58778718612041947</v>
      </c>
      <c r="AF5" s="3">
        <f ca="1"/>
        <v>1</v>
      </c>
      <c r="AG5" s="3">
        <f ca="1"/>
        <v>0.36306764584441065</v>
      </c>
      <c r="AH5" s="3">
        <f ca="1"/>
        <v>1</v>
      </c>
      <c r="AI5" s="8">
        <f ca="1"/>
        <v>0.35168989469336853</v>
      </c>
      <c r="AJ5" s="3"/>
      <c r="AK5" s="3"/>
      <c r="AL5" s="7">
        <f ca="1"/>
        <v>0.19397268734601947</v>
      </c>
      <c r="AM5" s="3">
        <f ca="1"/>
        <v>1</v>
      </c>
      <c r="AN5" s="3">
        <f ca="1"/>
        <v>1</v>
      </c>
      <c r="AO5" s="3">
        <f ca="1"/>
        <v>1</v>
      </c>
      <c r="AP5" s="8">
        <f ca="1"/>
        <v>0.23189843539738109</v>
      </c>
      <c r="AQ5" s="3"/>
      <c r="AR5" s="3"/>
      <c r="AS5" s="7">
        <f ca="1"/>
        <v>1</v>
      </c>
      <c r="AT5" s="3">
        <f ca="1"/>
        <v>0.29821821441268659</v>
      </c>
      <c r="AU5" s="3">
        <f ca="1"/>
        <v>1</v>
      </c>
      <c r="AV5" s="3">
        <f ca="1"/>
        <v>0.20412302298094787</v>
      </c>
      <c r="AW5" s="8">
        <f ca="1"/>
        <v>0</v>
      </c>
      <c r="AX5" s="3"/>
      <c r="AY5" s="3"/>
      <c r="AZ5" s="7">
        <f ca="1"/>
        <v>0.5304013929202761</v>
      </c>
      <c r="BA5" s="3">
        <f ca="1"/>
        <v>1</v>
      </c>
      <c r="BB5" s="3">
        <f ca="1"/>
        <v>1</v>
      </c>
      <c r="BC5" s="3">
        <f ca="1"/>
        <v>1</v>
      </c>
      <c r="BD5" s="8">
        <f ca="1"/>
        <v>0.5734765356210334</v>
      </c>
      <c r="BE5" s="3"/>
      <c r="BG5" s="7">
        <f ca="1"/>
        <v>0.64807895379941827</v>
      </c>
      <c r="BH5" s="3">
        <f ca="1"/>
        <v>1</v>
      </c>
      <c r="BI5" s="3">
        <f ca="1"/>
        <v>0.39426777998416956</v>
      </c>
      <c r="BJ5" s="3">
        <f ca="1"/>
        <v>1</v>
      </c>
      <c r="BK5" s="8">
        <f ca="1"/>
        <v>1.3077817517469531E-2</v>
      </c>
      <c r="BL5" s="3"/>
      <c r="BM5" s="3"/>
      <c r="BN5" s="7">
        <f ca="1"/>
        <v>0.20412302298094787</v>
      </c>
      <c r="BO5" s="3">
        <f ca="1"/>
        <v>1</v>
      </c>
      <c r="BP5" s="3">
        <f ca="1"/>
        <v>0.29821821441268659</v>
      </c>
      <c r="BQ5" s="3">
        <f ca="1"/>
        <v>1</v>
      </c>
      <c r="BR5" s="8">
        <f ca="1"/>
        <v>0.62984699181888459</v>
      </c>
      <c r="BS5" s="3"/>
      <c r="BU5" s="7">
        <f ca="1"/>
        <v>0.38883352858279174</v>
      </c>
      <c r="BV5" s="3">
        <f ca="1"/>
        <v>1</v>
      </c>
      <c r="BW5" s="3">
        <f ca="1"/>
        <v>1</v>
      </c>
      <c r="BX5" s="3">
        <f ca="1"/>
        <v>1</v>
      </c>
      <c r="BY5" s="8">
        <f ca="1"/>
        <v>1</v>
      </c>
      <c r="CA5" s="29"/>
      <c r="CC5" s="56"/>
      <c r="CD5" s="57" t="s">
        <v>13</v>
      </c>
      <c r="CE5" s="52">
        <v>11</v>
      </c>
      <c r="CF5" s="53"/>
      <c r="CG5" s="53"/>
      <c r="CH5" s="53"/>
    </row>
    <row r="6" spans="1:86" s="1" customFormat="1" ht="18" customHeight="1" x14ac:dyDescent="0.2">
      <c r="A6" s="7"/>
      <c r="B6" s="202"/>
      <c r="C6" s="7">
        <v>0.58778718612041947</v>
      </c>
      <c r="D6" s="3">
        <v>1</v>
      </c>
      <c r="E6" s="3">
        <v>0.36306764584441065</v>
      </c>
      <c r="F6" s="3">
        <v>1</v>
      </c>
      <c r="G6" s="8">
        <v>0.35168989469336853</v>
      </c>
      <c r="H6" s="3"/>
      <c r="I6" s="3"/>
      <c r="J6" s="7">
        <f ca="1"/>
        <v>0.58778718612041947</v>
      </c>
      <c r="K6" s="3">
        <f ca="1"/>
        <v>1</v>
      </c>
      <c r="L6" s="3">
        <f ca="1"/>
        <v>0.36306764584441065</v>
      </c>
      <c r="M6" s="3">
        <f ca="1"/>
        <v>1</v>
      </c>
      <c r="N6" s="8">
        <f ca="1"/>
        <v>0.35168989469336853</v>
      </c>
      <c r="O6" s="3"/>
      <c r="P6" s="3"/>
      <c r="Q6" s="7">
        <f ca="1"/>
        <v>0</v>
      </c>
      <c r="R6" s="3">
        <f ca="1"/>
        <v>0.58778718612041947</v>
      </c>
      <c r="S6" s="3">
        <f ca="1"/>
        <v>1</v>
      </c>
      <c r="T6" s="3">
        <f ca="1"/>
        <v>0.36306764584441065</v>
      </c>
      <c r="U6" s="8">
        <f ca="1"/>
        <v>1</v>
      </c>
      <c r="V6" s="3"/>
      <c r="W6" s="3"/>
      <c r="X6" s="7">
        <f ca="1"/>
        <v>1</v>
      </c>
      <c r="Y6" s="3">
        <f ca="1"/>
        <v>0.29821821441268659</v>
      </c>
      <c r="Z6" s="3">
        <f ca="1"/>
        <v>0.36306764584441065</v>
      </c>
      <c r="AA6" s="3">
        <f ca="1"/>
        <v>1</v>
      </c>
      <c r="AB6" s="8">
        <f ca="1"/>
        <v>0.61593869529044076</v>
      </c>
      <c r="AC6" s="3"/>
      <c r="AD6" s="3"/>
      <c r="AE6" s="7">
        <f ca="1"/>
        <v>0.5734765356210334</v>
      </c>
      <c r="AF6" s="3">
        <f ca="1"/>
        <v>1</v>
      </c>
      <c r="AG6" s="3">
        <f ca="1"/>
        <v>1</v>
      </c>
      <c r="AH6" s="3">
        <f ca="1"/>
        <v>1</v>
      </c>
      <c r="AI6" s="8">
        <f ca="1"/>
        <v>0.5304013929202761</v>
      </c>
      <c r="AJ6" s="3"/>
      <c r="AK6" s="3"/>
      <c r="AL6" s="7">
        <f ca="1"/>
        <v>0.62984699181888459</v>
      </c>
      <c r="AM6" s="3">
        <f ca="1"/>
        <v>1</v>
      </c>
      <c r="AN6" s="3">
        <f ca="1"/>
        <v>0.29821821441268659</v>
      </c>
      <c r="AO6" s="3">
        <f ca="1"/>
        <v>1</v>
      </c>
      <c r="AP6" s="8">
        <f ca="1"/>
        <v>0.20412302298094787</v>
      </c>
      <c r="AQ6" s="3"/>
      <c r="AR6" s="3"/>
      <c r="AS6" s="7">
        <f ca="1"/>
        <v>1</v>
      </c>
      <c r="AT6" s="3">
        <f ca="1"/>
        <v>0.36306764584441065</v>
      </c>
      <c r="AU6" s="3">
        <f ca="1"/>
        <v>1</v>
      </c>
      <c r="AV6" s="3">
        <f ca="1"/>
        <v>0.35168989469336853</v>
      </c>
      <c r="AW6" s="8">
        <f ca="1"/>
        <v>0</v>
      </c>
      <c r="AX6" s="3"/>
      <c r="AY6" s="3"/>
      <c r="AZ6" s="7">
        <f ca="1"/>
        <v>0.35168989469336853</v>
      </c>
      <c r="BA6" s="3">
        <f ca="1"/>
        <v>1</v>
      </c>
      <c r="BB6" s="3">
        <f ca="1"/>
        <v>0.36306764584441065</v>
      </c>
      <c r="BC6" s="3">
        <f ca="1"/>
        <v>1</v>
      </c>
      <c r="BD6" s="8">
        <f ca="1"/>
        <v>0.58778718612041947</v>
      </c>
      <c r="BE6" s="3"/>
      <c r="BG6" s="7">
        <f ca="1"/>
        <v>0.76709709907333568</v>
      </c>
      <c r="BH6" s="3">
        <f ca="1"/>
        <v>1</v>
      </c>
      <c r="BI6" s="3">
        <f ca="1"/>
        <v>0.44289024956815431</v>
      </c>
      <c r="BJ6" s="3">
        <f ca="1"/>
        <v>1</v>
      </c>
      <c r="BK6" s="8">
        <f ca="1"/>
        <v>0.33410534484342003</v>
      </c>
      <c r="BL6" s="3"/>
      <c r="BM6" s="3"/>
      <c r="BN6" s="7">
        <f ca="1"/>
        <v>0.35168989469336853</v>
      </c>
      <c r="BO6" s="3">
        <f ca="1"/>
        <v>1</v>
      </c>
      <c r="BP6" s="3">
        <f ca="1"/>
        <v>0.36306764584441065</v>
      </c>
      <c r="BQ6" s="3">
        <f ca="1"/>
        <v>1</v>
      </c>
      <c r="BR6" s="8">
        <f ca="1"/>
        <v>0.58778718612041947</v>
      </c>
      <c r="BS6" s="3"/>
      <c r="BU6" s="7">
        <f ca="1"/>
        <v>0.61593869529044076</v>
      </c>
      <c r="BV6" s="3">
        <f ca="1"/>
        <v>1</v>
      </c>
      <c r="BW6" s="3">
        <f ca="1"/>
        <v>0.36306764584441065</v>
      </c>
      <c r="BX6" s="3">
        <f ca="1"/>
        <v>0.29821821441268659</v>
      </c>
      <c r="BY6" s="8">
        <f ca="1"/>
        <v>1</v>
      </c>
      <c r="CA6" s="29"/>
      <c r="CC6" s="56"/>
      <c r="CD6" s="57" t="s">
        <v>14</v>
      </c>
      <c r="CE6" s="52">
        <v>5</v>
      </c>
      <c r="CF6" s="53"/>
      <c r="CG6" s="53"/>
      <c r="CH6" s="53"/>
    </row>
    <row r="7" spans="1:86" s="1" customFormat="1" ht="18" customHeight="1" x14ac:dyDescent="0.2">
      <c r="A7" s="7"/>
      <c r="B7" s="202"/>
      <c r="C7" s="7">
        <v>0.5734765356210334</v>
      </c>
      <c r="D7" s="3">
        <v>1</v>
      </c>
      <c r="E7" s="3">
        <v>1</v>
      </c>
      <c r="F7" s="3">
        <v>1</v>
      </c>
      <c r="G7" s="8">
        <v>0.5304013929202761</v>
      </c>
      <c r="H7" s="3"/>
      <c r="I7" s="3"/>
      <c r="J7" s="7">
        <f ca="1"/>
        <v>0.62984699181888459</v>
      </c>
      <c r="K7" s="3">
        <f ca="1"/>
        <v>1</v>
      </c>
      <c r="L7" s="3">
        <f ca="1"/>
        <v>0.29821821441268659</v>
      </c>
      <c r="M7" s="3">
        <f ca="1"/>
        <v>1</v>
      </c>
      <c r="N7" s="8">
        <f ca="1"/>
        <v>0.20412302298094787</v>
      </c>
      <c r="O7" s="3"/>
      <c r="P7" s="3"/>
      <c r="Q7" s="7">
        <f ca="1"/>
        <v>0</v>
      </c>
      <c r="R7" s="3">
        <f ca="1"/>
        <v>0.5734765356210334</v>
      </c>
      <c r="S7" s="3">
        <f ca="1"/>
        <v>1</v>
      </c>
      <c r="T7" s="3">
        <f ca="1"/>
        <v>1</v>
      </c>
      <c r="U7" s="8">
        <f ca="1"/>
        <v>1</v>
      </c>
      <c r="V7" s="3"/>
      <c r="W7" s="3"/>
      <c r="X7" s="7">
        <f ca="1"/>
        <v>1</v>
      </c>
      <c r="Y7" s="3">
        <f ca="1"/>
        <v>1</v>
      </c>
      <c r="Z7" s="3">
        <f ca="1"/>
        <v>1</v>
      </c>
      <c r="AA7" s="3">
        <f ca="1"/>
        <v>1</v>
      </c>
      <c r="AB7" s="8">
        <f ca="1"/>
        <v>0.38883352858279174</v>
      </c>
      <c r="AC7" s="3"/>
      <c r="AD7" s="3"/>
      <c r="AE7" s="7">
        <f ca="1"/>
        <v>0.63892938486000916</v>
      </c>
      <c r="AF7" s="3">
        <f ca="1"/>
        <v>0.38883352858279174</v>
      </c>
      <c r="AG7" s="3">
        <f ca="1"/>
        <v>0.61593869529044076</v>
      </c>
      <c r="AH7" s="3">
        <f ca="1"/>
        <v>0.64781383089559441</v>
      </c>
      <c r="AI7" s="8">
        <f ca="1"/>
        <v>0.22260189188168822</v>
      </c>
      <c r="AJ7" s="3"/>
      <c r="AK7" s="3"/>
      <c r="AL7" s="7">
        <f ca="1"/>
        <v>0.58778718612041947</v>
      </c>
      <c r="AM7" s="3">
        <f ca="1"/>
        <v>1</v>
      </c>
      <c r="AN7" s="3">
        <f ca="1"/>
        <v>0.36306764584441065</v>
      </c>
      <c r="AO7" s="3">
        <f ca="1"/>
        <v>1</v>
      </c>
      <c r="AP7" s="8">
        <f ca="1"/>
        <v>0.35168989469336853</v>
      </c>
      <c r="AQ7" s="3"/>
      <c r="AR7" s="3"/>
      <c r="AS7" s="7">
        <f ca="1"/>
        <v>1</v>
      </c>
      <c r="AT7" s="3">
        <f ca="1"/>
        <v>1</v>
      </c>
      <c r="AU7" s="3">
        <f ca="1"/>
        <v>1</v>
      </c>
      <c r="AV7" s="3">
        <f ca="1"/>
        <v>0.5304013929202761</v>
      </c>
      <c r="AW7" s="8">
        <f ca="1"/>
        <v>0</v>
      </c>
      <c r="AX7" s="3"/>
      <c r="AY7" s="3"/>
      <c r="AZ7" s="7">
        <f ca="1"/>
        <v>0.20412302298094787</v>
      </c>
      <c r="BA7" s="3">
        <f ca="1"/>
        <v>1</v>
      </c>
      <c r="BB7" s="3">
        <f ca="1"/>
        <v>0.29821821441268659</v>
      </c>
      <c r="BC7" s="3">
        <f ca="1"/>
        <v>1</v>
      </c>
      <c r="BD7" s="8">
        <f ca="1"/>
        <v>0.62984699181888459</v>
      </c>
      <c r="BE7" s="3"/>
      <c r="BG7" s="7">
        <f ca="1"/>
        <v>0.5265302629088473</v>
      </c>
      <c r="BH7" s="3">
        <f ca="1"/>
        <v>1</v>
      </c>
      <c r="BI7" s="3">
        <f ca="1"/>
        <v>0.97777704313108527</v>
      </c>
      <c r="BJ7" s="3">
        <f ca="1"/>
        <v>0.81022178050993265</v>
      </c>
      <c r="BK7" s="8">
        <f ca="1"/>
        <v>0.5473910006107241</v>
      </c>
      <c r="BL7" s="3"/>
      <c r="BM7" s="3"/>
      <c r="BN7" s="7">
        <f ca="1"/>
        <v>0.5304013929202761</v>
      </c>
      <c r="BO7" s="3">
        <f ca="1"/>
        <v>1</v>
      </c>
      <c r="BP7" s="3">
        <f ca="1"/>
        <v>1</v>
      </c>
      <c r="BQ7" s="3">
        <f ca="1"/>
        <v>1</v>
      </c>
      <c r="BR7" s="8">
        <f ca="1"/>
        <v>0.5734765356210334</v>
      </c>
      <c r="BS7" s="3"/>
      <c r="BU7" s="7">
        <f ca="1"/>
        <v>0.64781383089559441</v>
      </c>
      <c r="BV7" s="3">
        <f ca="1"/>
        <v>1</v>
      </c>
      <c r="BW7" s="3">
        <f ca="1"/>
        <v>1</v>
      </c>
      <c r="BX7" s="3">
        <f ca="1"/>
        <v>1</v>
      </c>
      <c r="BY7" s="8">
        <f ca="1"/>
        <v>1</v>
      </c>
      <c r="CA7" s="29"/>
      <c r="CC7" s="58"/>
      <c r="CD7" s="59" t="s">
        <v>15</v>
      </c>
      <c r="CE7" s="54">
        <v>5</v>
      </c>
      <c r="CF7" s="55"/>
      <c r="CG7" s="55"/>
      <c r="CH7" s="55"/>
    </row>
    <row r="8" spans="1:86" s="1" customFormat="1" ht="18" customHeight="1" thickBot="1" x14ac:dyDescent="0.25">
      <c r="A8" s="7"/>
      <c r="B8" s="202"/>
      <c r="C8" s="9">
        <v>0.63892938486000916</v>
      </c>
      <c r="D8" s="10">
        <v>0.38883352858279174</v>
      </c>
      <c r="E8" s="10">
        <v>0.61593869529044076</v>
      </c>
      <c r="F8" s="10">
        <v>0.64781383089559441</v>
      </c>
      <c r="G8" s="11">
        <v>0.22260189188168822</v>
      </c>
      <c r="H8" s="3"/>
      <c r="I8" s="3"/>
      <c r="J8" s="9">
        <f ca="1"/>
        <v>0.19397268734601947</v>
      </c>
      <c r="K8" s="10">
        <f ca="1"/>
        <v>1</v>
      </c>
      <c r="L8" s="10">
        <f ca="1"/>
        <v>1</v>
      </c>
      <c r="M8" s="10">
        <f ca="1"/>
        <v>1</v>
      </c>
      <c r="N8" s="11">
        <f ca="1"/>
        <v>0.23189843539738109</v>
      </c>
      <c r="O8" s="3"/>
      <c r="P8" s="3"/>
      <c r="Q8" s="9">
        <f ca="1"/>
        <v>0</v>
      </c>
      <c r="R8" s="10">
        <f ca="1"/>
        <v>0.63892938486000916</v>
      </c>
      <c r="S8" s="10">
        <f ca="1"/>
        <v>0.38883352858279174</v>
      </c>
      <c r="T8" s="10">
        <f ca="1"/>
        <v>0.61593869529044076</v>
      </c>
      <c r="U8" s="11">
        <f ca="1"/>
        <v>0.64781383089559441</v>
      </c>
      <c r="V8" s="3"/>
      <c r="W8" s="3"/>
      <c r="X8" s="9">
        <f ca="1"/>
        <v>0.19397268734601947</v>
      </c>
      <c r="Y8" s="10">
        <f ca="1"/>
        <v>0.62984699181888459</v>
      </c>
      <c r="Z8" s="10">
        <f ca="1"/>
        <v>0.58778718612041947</v>
      </c>
      <c r="AA8" s="10">
        <f ca="1"/>
        <v>0.5734765356210334</v>
      </c>
      <c r="AB8" s="11">
        <f ca="1"/>
        <v>0.63892938486000916</v>
      </c>
      <c r="AC8" s="3"/>
      <c r="AD8" s="3"/>
      <c r="AE8" s="9">
        <f ca="1"/>
        <v>0</v>
      </c>
      <c r="AF8" s="10">
        <f ca="1"/>
        <v>0</v>
      </c>
      <c r="AG8" s="10">
        <f ca="1"/>
        <v>0</v>
      </c>
      <c r="AH8" s="10">
        <f ca="1"/>
        <v>0</v>
      </c>
      <c r="AI8" s="11">
        <f ca="1"/>
        <v>0</v>
      </c>
      <c r="AJ8" s="3"/>
      <c r="AK8" s="3"/>
      <c r="AL8" s="9">
        <f ca="1"/>
        <v>0.5734765356210334</v>
      </c>
      <c r="AM8" s="10">
        <f ca="1"/>
        <v>1</v>
      </c>
      <c r="AN8" s="10">
        <f ca="1"/>
        <v>1</v>
      </c>
      <c r="AO8" s="10">
        <f ca="1"/>
        <v>1</v>
      </c>
      <c r="AP8" s="11">
        <f ca="1"/>
        <v>0.5304013929202761</v>
      </c>
      <c r="AQ8" s="3"/>
      <c r="AR8" s="3"/>
      <c r="AS8" s="9">
        <f ca="1"/>
        <v>0.38883352858279174</v>
      </c>
      <c r="AT8" s="10">
        <f ca="1"/>
        <v>0.61593869529044076</v>
      </c>
      <c r="AU8" s="10">
        <f ca="1"/>
        <v>0.64781383089559441</v>
      </c>
      <c r="AV8" s="10">
        <f ca="1"/>
        <v>0.22260189188168822</v>
      </c>
      <c r="AW8" s="11">
        <f ca="1"/>
        <v>0</v>
      </c>
      <c r="AX8" s="3"/>
      <c r="AY8" s="3"/>
      <c r="AZ8" s="9">
        <f ca="1"/>
        <v>0.23189843539738109</v>
      </c>
      <c r="BA8" s="10">
        <f ca="1"/>
        <v>1</v>
      </c>
      <c r="BB8" s="10">
        <f ca="1"/>
        <v>1</v>
      </c>
      <c r="BC8" s="10">
        <f ca="1"/>
        <v>1</v>
      </c>
      <c r="BD8" s="11">
        <f ca="1"/>
        <v>0.19397268734601947</v>
      </c>
      <c r="BE8" s="3"/>
      <c r="BG8" s="9">
        <f ca="1"/>
        <v>0.53023843566244988</v>
      </c>
      <c r="BH8" s="10">
        <f ca="1"/>
        <v>0.58350069603261534</v>
      </c>
      <c r="BI8" s="10">
        <f ca="1"/>
        <v>0.5372276398014959</v>
      </c>
      <c r="BJ8" s="10">
        <f ca="1"/>
        <v>0.6418699258271211</v>
      </c>
      <c r="BK8" s="11">
        <f ca="1"/>
        <v>4.9999184715647627E-2</v>
      </c>
      <c r="BL8" s="3"/>
      <c r="BM8" s="3"/>
      <c r="BN8" s="9">
        <f ca="1"/>
        <v>0.22260189188168822</v>
      </c>
      <c r="BO8" s="10">
        <f ca="1"/>
        <v>0.64781383089559441</v>
      </c>
      <c r="BP8" s="10">
        <f ca="1"/>
        <v>0.61593869529044076</v>
      </c>
      <c r="BQ8" s="10">
        <f ca="1"/>
        <v>0.38883352858279174</v>
      </c>
      <c r="BR8" s="11">
        <f ca="1"/>
        <v>0.63892938486000916</v>
      </c>
      <c r="BS8" s="3"/>
      <c r="BU8" s="9">
        <f ca="1"/>
        <v>0.22260189188168822</v>
      </c>
      <c r="BV8" s="10">
        <f ca="1"/>
        <v>0.5304013929202761</v>
      </c>
      <c r="BW8" s="10">
        <f ca="1"/>
        <v>0.35168989469336853</v>
      </c>
      <c r="BX8" s="10">
        <f ca="1"/>
        <v>0.20412302298094787</v>
      </c>
      <c r="BY8" s="11">
        <f ca="1"/>
        <v>0.23189843539738109</v>
      </c>
      <c r="CA8" s="29"/>
    </row>
    <row r="9" spans="1:86" s="1" customFormat="1" ht="18" customHeight="1" x14ac:dyDescent="0.2">
      <c r="A9" s="7"/>
      <c r="B9" s="2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U9" s="3"/>
      <c r="BV9" s="3"/>
      <c r="BW9" s="3"/>
      <c r="BX9" s="3"/>
      <c r="BY9" s="3"/>
      <c r="CA9" s="29"/>
    </row>
    <row r="10" spans="1:86" s="1" customFormat="1" ht="18" customHeight="1" thickBot="1" x14ac:dyDescent="0.25">
      <c r="A10" s="7"/>
      <c r="B10" s="202">
        <v>1</v>
      </c>
      <c r="C10" s="200" t="s">
        <v>9</v>
      </c>
      <c r="D10" s="200"/>
      <c r="E10" s="200"/>
      <c r="F10" s="200"/>
      <c r="G10" s="200"/>
      <c r="H10" s="28"/>
      <c r="I10" s="3"/>
      <c r="J10" s="200" t="str" cm="1">
        <f t="array" aca="1" ref="J10" ca="1">INDEX(Helper!$E$13:$E$22, OFFSET(Helper!$J$13,$B10,J$2))</f>
        <v>Vertical Flip</v>
      </c>
      <c r="K10" s="200"/>
      <c r="L10" s="200"/>
      <c r="M10" s="200"/>
      <c r="N10" s="200"/>
      <c r="O10" s="3"/>
      <c r="P10" s="28"/>
      <c r="Q10" s="200" t="s">
        <v>16</v>
      </c>
      <c r="R10" s="200"/>
      <c r="S10" s="200"/>
      <c r="T10" s="200"/>
      <c r="U10" s="200"/>
      <c r="V10" s="3"/>
      <c r="W10" s="28"/>
      <c r="X10" s="200" t="s">
        <v>17</v>
      </c>
      <c r="Y10" s="200"/>
      <c r="Z10" s="200"/>
      <c r="AA10" s="200"/>
      <c r="AB10" s="200"/>
      <c r="AC10" s="3"/>
      <c r="AD10" s="28"/>
      <c r="AE10" s="200" t="str" cm="1">
        <f t="array" aca="1" ref="AE10" ca="1">INDEX(Helper!$E$13:$E$22, OFFSET(Helper!$J$13,$B10,AE$2))</f>
        <v>90 CW</v>
      </c>
      <c r="AF10" s="200"/>
      <c r="AG10" s="200"/>
      <c r="AH10" s="200"/>
      <c r="AI10" s="200"/>
      <c r="AJ10" s="3"/>
      <c r="AK10" s="28"/>
      <c r="AL10" s="200" t="str" cm="1">
        <f t="array" aca="1" ref="AL10" ca="1">INDEX(Helper!$E$13:$E$22, OFFSET(Helper!$J$13,$B10,AL$2))</f>
        <v>Shift Left</v>
      </c>
      <c r="AM10" s="200"/>
      <c r="AN10" s="200"/>
      <c r="AO10" s="200"/>
      <c r="AP10" s="200"/>
      <c r="AQ10" s="3"/>
      <c r="AR10" s="3"/>
      <c r="AS10" s="200" t="str" cm="1">
        <f t="array" aca="1" ref="AS10" ca="1">INDEX(Helper!$E$13:$E$22, OFFSET(Helper!$J$13,$B10,AS$2))</f>
        <v>Noise</v>
      </c>
      <c r="AT10" s="200"/>
      <c r="AU10" s="200"/>
      <c r="AV10" s="200"/>
      <c r="AW10" s="200"/>
      <c r="AX10" s="3"/>
      <c r="AY10" s="3"/>
      <c r="AZ10" s="200" t="str" cm="1">
        <f t="array" aca="1" ref="AZ10" ca="1">INDEX(Helper!$E$13:$E$22, OFFSET(Helper!$J$13,$B10,AZ$2))</f>
        <v>180 Rotation</v>
      </c>
      <c r="BA10" s="200"/>
      <c r="BB10" s="200"/>
      <c r="BC10" s="200"/>
      <c r="BD10" s="200"/>
      <c r="BE10" s="3"/>
      <c r="BG10" s="200" t="str" cm="1">
        <f t="array" aca="1" ref="BG10" ca="1">INDEX(Helper!$E$13:$E$22, OFFSET(Helper!$J$13,$B10,BG$2))</f>
        <v>Shift Down</v>
      </c>
      <c r="BH10" s="200"/>
      <c r="BI10" s="200"/>
      <c r="BJ10" s="200"/>
      <c r="BK10" s="200"/>
      <c r="BL10" s="3"/>
      <c r="BM10" s="3"/>
      <c r="BN10" s="200" t="str" cm="1">
        <f t="array" aca="1" ref="BN10" ca="1">INDEX(Helper!$E$13:$E$22, OFFSET(Helper!$J$13,$B10,BN$2))</f>
        <v>90 CCW</v>
      </c>
      <c r="BO10" s="200"/>
      <c r="BP10" s="200"/>
      <c r="BQ10" s="200"/>
      <c r="BR10" s="200"/>
      <c r="BS10" s="3"/>
      <c r="BU10" s="200" t="str" cm="1">
        <f t="array" aca="1" ref="BU10" ca="1">INDEX(Helper!$E$13:$E$22, OFFSET(Helper!$J$13,$B10,BU$2))</f>
        <v>Shift Up</v>
      </c>
      <c r="BV10" s="200"/>
      <c r="BW10" s="200"/>
      <c r="BX10" s="200"/>
      <c r="BY10" s="200"/>
      <c r="CA10" s="29"/>
    </row>
    <row r="11" spans="1:86" s="1" customFormat="1" ht="18" customHeight="1" x14ac:dyDescent="0.2">
      <c r="A11" s="7"/>
      <c r="B11" s="202"/>
      <c r="C11" s="4">
        <v>0.49852125027675898</v>
      </c>
      <c r="D11" s="5">
        <v>0.32578388831833338</v>
      </c>
      <c r="E11" s="5">
        <v>1</v>
      </c>
      <c r="F11" s="5">
        <v>0.23722850910311943</v>
      </c>
      <c r="G11" s="6">
        <v>0.57956457740781953</v>
      </c>
      <c r="H11" s="3"/>
      <c r="I11" s="3"/>
      <c r="J11" s="4" cm="1">
        <f t="array" aca="1" ref="J11:N15" ca="1">_xlfn.IFS(J10="None",  $C11:$G15*0,           J10="Horizontal Flip", INDEX($C11:$G15, _xlfn.SEQUENCE(5), 6 - _xlfn.SEQUENCE(1,5)),        J10="Vertical Flip", INDEX($C11:$G15, 6 - _xlfn.SEQUENCE(5), _xlfn.SEQUENCE(1,5)),      J10="180 Rotation", INDEX($C11:$G15, 6 - _xlfn.SEQUENCE(5), 6 - _xlfn.SEQUENCE(1,5)),        J10="90 CW", INDEX($C11:$G15, 6 - _xlfn.SEQUENCE(1,5), _xlfn.SEQUENCE(5)),          J10="90 CCW", INDEX($C11:$G15, _xlfn.SEQUENCE(1,5), 6 - _xlfn.SEQUENCE(5)),         J10="Shift Up", IF(_xlfn.SEQUENCE(5)+1&lt;=5, INDEX($C11:$G15, _xlfn.SEQUENCE(5)+1, _xlfn.SEQUENCE(1,5)), 0),         J10="Shift Down", IF(_xlfn.SEQUENCE(5)-1&gt;=1, INDEX($C11:$G15, _xlfn.SEQUENCE(5)-1, _xlfn.SEQUENCE(1,5)), 0),         J10="Shift Left",   IF(_xlfn.SEQUENCE(1,5)+1&lt;=5, INDEX($C11:$G15, _xlfn.SEQUENCE(5), _xlfn.SEQUENCE(1,5)+1),0),         J10= "Shift Right",  IF(_xlfn.SEQUENCE(1,5)-1&gt;=1, INDEX($C11:$G15, _xlfn.SEQUENCE(5), _xlfn.SEQUENCE(1,5)-1), 0),        J10="Noise",  _xlfn.MAP($C11:$G15 + (_xlfn.RANDARRAY(ROWS($C11:$G15), COLUMNS($C11:$G15)) - 0.5) * 0.4, _xlfn.LAMBDA(_xlpm.x, MAX(0, MIN(1, _xlpm.x)))))</f>
        <v>0.33432835099577984</v>
      </c>
      <c r="K11" s="5">
        <f ca="1"/>
        <v>1</v>
      </c>
      <c r="L11" s="5">
        <f ca="1"/>
        <v>1</v>
      </c>
      <c r="M11" s="5">
        <f ca="1"/>
        <v>1</v>
      </c>
      <c r="N11" s="6">
        <f ca="1"/>
        <v>0.1822231626746742</v>
      </c>
      <c r="O11" s="3"/>
      <c r="P11" s="3"/>
      <c r="Q11" s="4" cm="1">
        <f t="array" aca="1" ref="Q11:U15" ca="1">_xlfn.IFS(Q10="None",  $C11:$G15*0,           Q10="Horizontal Flip", INDEX($C11:$G15, _xlfn.SEQUENCE(5), 6 - _xlfn.SEQUENCE(1,5)),        Q10="Vertical Flip", INDEX($C11:$G15, 6 - _xlfn.SEQUENCE(5), _xlfn.SEQUENCE(1,5)),      Q10="180 Rotation", INDEX($C11:$G15, 6 - _xlfn.SEQUENCE(5), 6 - _xlfn.SEQUENCE(1,5)),        Q10="90 CW", INDEX($C11:$G15, 6 - _xlfn.SEQUENCE(1,5), _xlfn.SEQUENCE(5)),          Q10="90 CCW", INDEX($C11:$G15, _xlfn.SEQUENCE(1,5), 6 - _xlfn.SEQUENCE(5)),         Q10="Shift Up", IF(_xlfn.SEQUENCE(5)+1&lt;=5, INDEX($C11:$G15, _xlfn.SEQUENCE(5)+1, _xlfn.SEQUENCE(1,5)), 0),         Q10="Shift Down", IF(_xlfn.SEQUENCE(5)-1&gt;=1, INDEX($C11:$G15, _xlfn.SEQUENCE(5)-1, _xlfn.SEQUENCE(1,5)), 0),         Q10="Shift Left",   IF(_xlfn.SEQUENCE(1,5)+1&lt;=5, INDEX($C11:$G15, _xlfn.SEQUENCE(5), _xlfn.SEQUENCE(1,5)+1),0),         Q10= "Shift Right",  IF(_xlfn.SEQUENCE(1,5)-1&gt;=1, INDEX($C11:$G15, _xlfn.SEQUENCE(5), _xlfn.SEQUENCE(1,5)-1), 0),        Q10="Noise",  _xlfn.MAP($C11:$G15 + (_xlfn.RANDARRAY(ROWS($C11:$G15), COLUMNS($C11:$G15)) - 0.5) * 0.4, _xlfn.LAMBDA(_xlpm.x, MAX(0, MIN(1, _xlpm.x)))))</f>
        <v>0.57956457740781953</v>
      </c>
      <c r="R11" s="5">
        <f ca="1"/>
        <v>0.23722850910311943</v>
      </c>
      <c r="S11" s="5">
        <f ca="1"/>
        <v>1</v>
      </c>
      <c r="T11" s="5">
        <f ca="1"/>
        <v>0.32578388831833338</v>
      </c>
      <c r="U11" s="6">
        <f ca="1"/>
        <v>0.49852125027675898</v>
      </c>
      <c r="V11" s="3"/>
      <c r="W11" s="3"/>
      <c r="X11" s="4" cm="1">
        <f t="array" aca="1" ref="X11:AB15" ca="1">_xlfn.IFS(X10="None",  $C11:$G15*0,           X10="Horizontal Flip", INDEX($C11:$G15, _xlfn.SEQUENCE(5), 6 - _xlfn.SEQUENCE(1,5)),        X10="Vertical Flip", INDEX($C11:$G15, 6 - _xlfn.SEQUENCE(5), _xlfn.SEQUENCE(1,5)),      X10="180 Rotation", INDEX($C11:$G15, 6 - _xlfn.SEQUENCE(5), 6 - _xlfn.SEQUENCE(1,5)),        X10="90 CW", INDEX($C11:$G15, 6 - _xlfn.SEQUENCE(1,5), _xlfn.SEQUENCE(5)),          X10="90 CCW", INDEX($C11:$G15, _xlfn.SEQUENCE(1,5), 6 - _xlfn.SEQUENCE(5)),         X10="Shift Up", IF(_xlfn.SEQUENCE(5)+1&lt;=5, INDEX($C11:$G15, _xlfn.SEQUENCE(5)+1, _xlfn.SEQUENCE(1,5)), 0),         X10="Shift Down", IF(_xlfn.SEQUENCE(5)-1&gt;=1, INDEX($C11:$G15, _xlfn.SEQUENCE(5)-1, _xlfn.SEQUENCE(1,5)), 0),         X10="Shift Left",   IF(_xlfn.SEQUENCE(1,5)+1&lt;=5, INDEX($C11:$G15, _xlfn.SEQUENCE(5), _xlfn.SEQUENCE(1,5)+1),0),         X10= "Shift Right",  IF(_xlfn.SEQUENCE(1,5)-1&gt;=1, INDEX($C11:$G15, _xlfn.SEQUENCE(5), _xlfn.SEQUENCE(1,5)-1), 0),        X10="Noise",  _xlfn.MAP($C11:$G15 + (_xlfn.RANDARRAY(ROWS($C11:$G15), COLUMNS($C11:$G15)) - 0.5) * 0.4, _xlfn.LAMBDA(_xlpm.x, MAX(0, MIN(1, _xlpm.x)))))</f>
        <v>0.57956457740781953</v>
      </c>
      <c r="Y11" s="5">
        <f ca="1"/>
        <v>0.62339485003993267</v>
      </c>
      <c r="Z11" s="5">
        <f ca="1"/>
        <v>0.44243688278642446</v>
      </c>
      <c r="AA11" s="5">
        <f ca="1"/>
        <v>0.41742634585988858</v>
      </c>
      <c r="AB11" s="6">
        <f ca="1"/>
        <v>0.1822231626746742</v>
      </c>
      <c r="AC11" s="3"/>
      <c r="AD11" s="3"/>
      <c r="AE11" s="4" cm="1">
        <f t="array" aca="1" ref="AE11:AI15" ca="1">_xlfn.IFS(AE10="None",  $C11:$G15*0,           AE10="Horizontal Flip", INDEX($C11:$G15, _xlfn.SEQUENCE(5), 6 - _xlfn.SEQUENCE(1,5)),        AE10="Vertical Flip", INDEX($C11:$G15, 6 - _xlfn.SEQUENCE(5), _xlfn.SEQUENCE(1,5)),      AE10="180 Rotation", INDEX($C11:$G15, 6 - _xlfn.SEQUENCE(5), 6 - _xlfn.SEQUENCE(1,5)),        AE10="90 CW", INDEX($C11:$G15, 6 - _xlfn.SEQUENCE(1,5), _xlfn.SEQUENCE(5)),          AE10="90 CCW", INDEX($C11:$G15, _xlfn.SEQUENCE(1,5), 6 - _xlfn.SEQUENCE(5)),         AE10="Shift Up", IF(_xlfn.SEQUENCE(5)+1&lt;=5, INDEX($C11:$G15, _xlfn.SEQUENCE(5)+1, _xlfn.SEQUENCE(1,5)), 0),         AE10="Shift Down", IF(_xlfn.SEQUENCE(5)-1&gt;=1, INDEX($C11:$G15, _xlfn.SEQUENCE(5)-1, _xlfn.SEQUENCE(1,5)), 0),         AE10="Shift Left",   IF(_xlfn.SEQUENCE(1,5)+1&lt;=5, INDEX($C11:$G15, _xlfn.SEQUENCE(5), _xlfn.SEQUENCE(1,5)+1),0),         AE10= "Shift Right",  IF(_xlfn.SEQUENCE(1,5)-1&gt;=1, INDEX($C11:$G15, _xlfn.SEQUENCE(5), _xlfn.SEQUENCE(1,5)-1), 0),        AE10="Noise",  _xlfn.MAP($C11:$G15 + (_xlfn.RANDARRAY(ROWS($C11:$G15), COLUMNS($C11:$G15)) - 0.5) * 0.4, _xlfn.LAMBDA(_xlpm.x, MAX(0, MIN(1, _xlpm.x)))))</f>
        <v>0.33432835099577984</v>
      </c>
      <c r="AF11" s="5">
        <f ca="1"/>
        <v>0.36064881895624057</v>
      </c>
      <c r="AG11" s="5">
        <f ca="1"/>
        <v>0.29327062365299439</v>
      </c>
      <c r="AH11" s="5">
        <f ca="1"/>
        <v>0.52525198154330088</v>
      </c>
      <c r="AI11" s="6">
        <f ca="1"/>
        <v>0.49852125027675898</v>
      </c>
      <c r="AJ11" s="3"/>
      <c r="AK11" s="3"/>
      <c r="AL11" s="4" cm="1">
        <f t="array" aca="1" ref="AL11:AP15" ca="1">_xlfn.IFS(AL10="None",  $C11:$G15*0,           AL10="Horizontal Flip", INDEX($C11:$G15, _xlfn.SEQUENCE(5), 6 - _xlfn.SEQUENCE(1,5)),        AL10="Vertical Flip", INDEX($C11:$G15, 6 - _xlfn.SEQUENCE(5), _xlfn.SEQUENCE(1,5)),      AL10="180 Rotation", INDEX($C11:$G15, 6 - _xlfn.SEQUENCE(5), 6 - _xlfn.SEQUENCE(1,5)),        AL10="90 CW", INDEX($C11:$G15, 6 - _xlfn.SEQUENCE(1,5), _xlfn.SEQUENCE(5)),          AL10="90 CCW", INDEX($C11:$G15, _xlfn.SEQUENCE(1,5), 6 - _xlfn.SEQUENCE(5)),         AL10="Shift Up", IF(_xlfn.SEQUENCE(5)+1&lt;=5, INDEX($C11:$G15, _xlfn.SEQUENCE(5)+1, _xlfn.SEQUENCE(1,5)), 0),         AL10="Shift Down", IF(_xlfn.SEQUENCE(5)-1&gt;=1, INDEX($C11:$G15, _xlfn.SEQUENCE(5)-1, _xlfn.SEQUENCE(1,5)), 0),         AL10="Shift Left",   IF(_xlfn.SEQUENCE(1,5)+1&lt;=5, INDEX($C11:$G15, _xlfn.SEQUENCE(5), _xlfn.SEQUENCE(1,5)+1),0),         AL10= "Shift Right",  IF(_xlfn.SEQUENCE(1,5)-1&gt;=1, INDEX($C11:$G15, _xlfn.SEQUENCE(5), _xlfn.SEQUENCE(1,5)-1), 0),        AL10="Noise",  _xlfn.MAP($C11:$G15 + (_xlfn.RANDARRAY(ROWS($C11:$G15), COLUMNS($C11:$G15)) - 0.5) * 0.4, _xlfn.LAMBDA(_xlpm.x, MAX(0, MIN(1, _xlpm.x)))))</f>
        <v>0.32578388831833338</v>
      </c>
      <c r="AM11" s="5">
        <f ca="1"/>
        <v>1</v>
      </c>
      <c r="AN11" s="5">
        <f ca="1"/>
        <v>0.23722850910311943</v>
      </c>
      <c r="AO11" s="5">
        <f ca="1"/>
        <v>0.57956457740781953</v>
      </c>
      <c r="AP11" s="6">
        <f ca="1"/>
        <v>0</v>
      </c>
      <c r="AQ11" s="3"/>
      <c r="AR11" s="3"/>
      <c r="AS11" s="4" cm="1">
        <f t="array" aca="1" ref="AS11:AW15" ca="1">_xlfn.IFS(AS10="None",  $C11:$G15*0,           AS10="Horizontal Flip", INDEX($C11:$G15, _xlfn.SEQUENCE(5), 6 - _xlfn.SEQUENCE(1,5)),        AS10="Vertical Flip", INDEX($C11:$G15, 6 - _xlfn.SEQUENCE(5), _xlfn.SEQUENCE(1,5)),      AS10="180 Rotation", INDEX($C11:$G15, 6 - _xlfn.SEQUENCE(5), 6 - _xlfn.SEQUENCE(1,5)),        AS10="90 CW", INDEX($C11:$G15, 6 - _xlfn.SEQUENCE(1,5), _xlfn.SEQUENCE(5)),          AS10="90 CCW", INDEX($C11:$G15, _xlfn.SEQUENCE(1,5), 6 - _xlfn.SEQUENCE(5)),         AS10="Shift Up", IF(_xlfn.SEQUENCE(5)+1&lt;=5, INDEX($C11:$G15, _xlfn.SEQUENCE(5)+1, _xlfn.SEQUENCE(1,5)), 0),         AS10="Shift Down", IF(_xlfn.SEQUENCE(5)-1&gt;=1, INDEX($C11:$G15, _xlfn.SEQUENCE(5)-1, _xlfn.SEQUENCE(1,5)), 0),         AS10="Shift Left",   IF(_xlfn.SEQUENCE(1,5)+1&lt;=5, INDEX($C11:$G15, _xlfn.SEQUENCE(5), _xlfn.SEQUENCE(1,5)+1),0),         AS10= "Shift Right",  IF(_xlfn.SEQUENCE(1,5)-1&gt;=1, INDEX($C11:$G15, _xlfn.SEQUENCE(5), _xlfn.SEQUENCE(1,5)-1), 0),        AS10="Noise",  _xlfn.MAP($C11:$G15 + (_xlfn.RANDARRAY(ROWS($C11:$G15), COLUMNS($C11:$G15)) - 0.5) * 0.4, _xlfn.LAMBDA(_xlpm.x, MAX(0, MIN(1, _xlpm.x)))))</f>
        <v>0.46961153608124073</v>
      </c>
      <c r="AT11" s="5">
        <f ca="1"/>
        <v>0.32835553159085434</v>
      </c>
      <c r="AU11" s="5">
        <f ca="1"/>
        <v>1</v>
      </c>
      <c r="AV11" s="5">
        <f ca="1"/>
        <v>0.28713931686366723</v>
      </c>
      <c r="AW11" s="6">
        <f ca="1"/>
        <v>0.72428128282679971</v>
      </c>
      <c r="AX11" s="3"/>
      <c r="AY11" s="3"/>
      <c r="AZ11" s="4" cm="1">
        <f t="array" aca="1" ref="AZ11:BD15" ca="1">_xlfn.IFS(AZ10="None",  $C11:$G15*0,           AZ10="Horizontal Flip", INDEX($C11:$G15, _xlfn.SEQUENCE(5), 6 - _xlfn.SEQUENCE(1,5)),        AZ10="Vertical Flip", INDEX($C11:$G15, 6 - _xlfn.SEQUENCE(5), _xlfn.SEQUENCE(1,5)),      AZ10="180 Rotation", INDEX($C11:$G15, 6 - _xlfn.SEQUENCE(5), 6 - _xlfn.SEQUENCE(1,5)),        AZ10="90 CW", INDEX($C11:$G15, 6 - _xlfn.SEQUENCE(1,5), _xlfn.SEQUENCE(5)),          AZ10="90 CCW", INDEX($C11:$G15, _xlfn.SEQUENCE(1,5), 6 - _xlfn.SEQUENCE(5)),         AZ10="Shift Up", IF(_xlfn.SEQUENCE(5)+1&lt;=5, INDEX($C11:$G15, _xlfn.SEQUENCE(5)+1, _xlfn.SEQUENCE(1,5)), 0),         AZ10="Shift Down", IF(_xlfn.SEQUENCE(5)-1&gt;=1, INDEX($C11:$G15, _xlfn.SEQUENCE(5)-1, _xlfn.SEQUENCE(1,5)), 0),         AZ10="Shift Left",   IF(_xlfn.SEQUENCE(1,5)+1&lt;=5, INDEX($C11:$G15, _xlfn.SEQUENCE(5), _xlfn.SEQUENCE(1,5)+1),0),         AZ10= "Shift Right",  IF(_xlfn.SEQUENCE(1,5)-1&gt;=1, INDEX($C11:$G15, _xlfn.SEQUENCE(5), _xlfn.SEQUENCE(1,5)-1), 0),        AZ10="Noise",  _xlfn.MAP($C11:$G15 + (_xlfn.RANDARRAY(ROWS($C11:$G15), COLUMNS($C11:$G15)) - 0.5) * 0.4, _xlfn.LAMBDA(_xlpm.x, MAX(0, MIN(1, _xlpm.x)))))</f>
        <v>0.1822231626746742</v>
      </c>
      <c r="BA11" s="5">
        <f ca="1"/>
        <v>1</v>
      </c>
      <c r="BB11" s="5">
        <f ca="1"/>
        <v>1</v>
      </c>
      <c r="BC11" s="5">
        <f ca="1"/>
        <v>1</v>
      </c>
      <c r="BD11" s="6">
        <f ca="1"/>
        <v>0.33432835099577984</v>
      </c>
      <c r="BE11" s="3"/>
      <c r="BG11" s="4" cm="1">
        <f t="array" aca="1" ref="BG11:BK15" ca="1">_xlfn.IFS(BG10="None",  $C11:$G15*0,           BG10="Horizontal Flip", INDEX($C11:$G15, _xlfn.SEQUENCE(5), 6 - _xlfn.SEQUENCE(1,5)),        BG10="Vertical Flip", INDEX($C11:$G15, 6 - _xlfn.SEQUENCE(5), _xlfn.SEQUENCE(1,5)),      BG10="180 Rotation", INDEX($C11:$G15, 6 - _xlfn.SEQUENCE(5), 6 - _xlfn.SEQUENCE(1,5)),        BG10="90 CW", INDEX($C11:$G15, 6 - _xlfn.SEQUENCE(1,5), _xlfn.SEQUENCE(5)),          BG10="90 CCW", INDEX($C11:$G15, _xlfn.SEQUENCE(1,5), 6 - _xlfn.SEQUENCE(5)),         BG10="Shift Up", IF(_xlfn.SEQUENCE(5)+1&lt;=5, INDEX($C11:$G15, _xlfn.SEQUENCE(5)+1, _xlfn.SEQUENCE(1,5)), 0),         BG10="Shift Down", IF(_xlfn.SEQUENCE(5)-1&gt;=1, INDEX($C11:$G15, _xlfn.SEQUENCE(5)-1, _xlfn.SEQUENCE(1,5)), 0),         BG10="Shift Left",   IF(_xlfn.SEQUENCE(1,5)+1&lt;=5, INDEX($C11:$G15, _xlfn.SEQUENCE(5), _xlfn.SEQUENCE(1,5)+1),0),         BG10= "Shift Right",  IF(_xlfn.SEQUENCE(1,5)-1&gt;=1, INDEX($C11:$G15, _xlfn.SEQUENCE(5), _xlfn.SEQUENCE(1,5)-1), 0),        BG10="Noise",  _xlfn.MAP($C11:$G15 + (_xlfn.RANDARRAY(ROWS($C11:$G15), COLUMNS($C11:$G15)) - 0.5) * 0.4, _xlfn.LAMBDA(_xlpm.x, MAX(0, MIN(1, _xlpm.x)))))</f>
        <v>0</v>
      </c>
      <c r="BH11" s="5">
        <f ca="1"/>
        <v>0</v>
      </c>
      <c r="BI11" s="5">
        <f ca="1"/>
        <v>0</v>
      </c>
      <c r="BJ11" s="5">
        <f ca="1"/>
        <v>0</v>
      </c>
      <c r="BK11" s="6">
        <f ca="1"/>
        <v>0</v>
      </c>
      <c r="BL11" s="3"/>
      <c r="BM11" s="3"/>
      <c r="BN11" s="4" cm="1">
        <f t="array" aca="1" ref="BN11:BR15" ca="1">_xlfn.IFS(BN10="None",  $C11:$G15*0,           BN10="Horizontal Flip", INDEX($C11:$G15, _xlfn.SEQUENCE(5), 6 - _xlfn.SEQUENCE(1,5)),        BN10="Vertical Flip", INDEX($C11:$G15, 6 - _xlfn.SEQUENCE(5), _xlfn.SEQUENCE(1,5)),      BN10="180 Rotation", INDEX($C11:$G15, 6 - _xlfn.SEQUENCE(5), 6 - _xlfn.SEQUENCE(1,5)),        BN10="90 CW", INDEX($C11:$G15, 6 - _xlfn.SEQUENCE(1,5), _xlfn.SEQUENCE(5)),          BN10="90 CCW", INDEX($C11:$G15, _xlfn.SEQUENCE(1,5), 6 - _xlfn.SEQUENCE(5)),         BN10="Shift Up", IF(_xlfn.SEQUENCE(5)+1&lt;=5, INDEX($C11:$G15, _xlfn.SEQUENCE(5)+1, _xlfn.SEQUENCE(1,5)), 0),         BN10="Shift Down", IF(_xlfn.SEQUENCE(5)-1&gt;=1, INDEX($C11:$G15, _xlfn.SEQUENCE(5)-1, _xlfn.SEQUENCE(1,5)), 0),         BN10="Shift Left",   IF(_xlfn.SEQUENCE(1,5)+1&lt;=5, INDEX($C11:$G15, _xlfn.SEQUENCE(5), _xlfn.SEQUENCE(1,5)+1),0),         BN10= "Shift Right",  IF(_xlfn.SEQUENCE(1,5)-1&gt;=1, INDEX($C11:$G15, _xlfn.SEQUENCE(5), _xlfn.SEQUENCE(1,5)-1), 0),        BN10="Noise",  _xlfn.MAP($C11:$G15 + (_xlfn.RANDARRAY(ROWS($C11:$G15), COLUMNS($C11:$G15)) - 0.5) * 0.4, _xlfn.LAMBDA(_xlpm.x, MAX(0, MIN(1, _xlpm.x)))))</f>
        <v>0.57956457740781953</v>
      </c>
      <c r="BO11" s="5">
        <f ca="1"/>
        <v>0.62339485003993267</v>
      </c>
      <c r="BP11" s="5">
        <f ca="1"/>
        <v>0.44243688278642446</v>
      </c>
      <c r="BQ11" s="5">
        <f ca="1"/>
        <v>0.41742634585988858</v>
      </c>
      <c r="BR11" s="6">
        <f ca="1"/>
        <v>0.1822231626746742</v>
      </c>
      <c r="BS11" s="3"/>
      <c r="BU11" s="4" cm="1">
        <f t="array" aca="1" ref="BU11:BY15" ca="1">_xlfn.IFS(BU10="None",  $C11:$G15*0,           BU10="Horizontal Flip", INDEX($C11:$G15, _xlfn.SEQUENCE(5), 6 - _xlfn.SEQUENCE(1,5)),        BU10="Vertical Flip", INDEX($C11:$G15, 6 - _xlfn.SEQUENCE(5), _xlfn.SEQUENCE(1,5)),      BU10="180 Rotation", INDEX($C11:$G15, 6 - _xlfn.SEQUENCE(5), 6 - _xlfn.SEQUENCE(1,5)),        BU10="90 CW", INDEX($C11:$G15, 6 - _xlfn.SEQUENCE(1,5), _xlfn.SEQUENCE(5)),          BU10="90 CCW", INDEX($C11:$G15, _xlfn.SEQUENCE(1,5), 6 - _xlfn.SEQUENCE(5)),         BU10="Shift Up", IF(_xlfn.SEQUENCE(5)+1&lt;=5, INDEX($C11:$G15, _xlfn.SEQUENCE(5)+1, _xlfn.SEQUENCE(1,5)), 0),         BU10="Shift Down", IF(_xlfn.SEQUENCE(5)-1&gt;=1, INDEX($C11:$G15, _xlfn.SEQUENCE(5)-1, _xlfn.SEQUENCE(1,5)), 0),         BU10="Shift Left",   IF(_xlfn.SEQUENCE(1,5)+1&lt;=5, INDEX($C11:$G15, _xlfn.SEQUENCE(5), _xlfn.SEQUENCE(1,5)+1),0),         BU10= "Shift Right",  IF(_xlfn.SEQUENCE(1,5)-1&gt;=1, INDEX($C11:$G15, _xlfn.SEQUENCE(5), _xlfn.SEQUENCE(1,5)-1), 0),        BU10="Noise",  _xlfn.MAP($C11:$G15 + (_xlfn.RANDARRAY(ROWS($C11:$G15), COLUMNS($C11:$G15)) - 0.5) * 0.4, _xlfn.LAMBDA(_xlpm.x, MAX(0, MIN(1, _xlpm.x)))))</f>
        <v>0.52525198154330088</v>
      </c>
      <c r="BV11" s="5">
        <f ca="1"/>
        <v>1</v>
      </c>
      <c r="BW11" s="5">
        <f ca="1"/>
        <v>1</v>
      </c>
      <c r="BX11" s="5">
        <f ca="1"/>
        <v>0.27029772179629541</v>
      </c>
      <c r="BY11" s="6">
        <f ca="1"/>
        <v>0.62339485003993267</v>
      </c>
      <c r="CA11" s="29"/>
    </row>
    <row r="12" spans="1:86" s="1" customFormat="1" ht="18" customHeight="1" x14ac:dyDescent="0.2">
      <c r="A12" s="7"/>
      <c r="B12" s="202"/>
      <c r="C12" s="7">
        <v>0.52525198154330088</v>
      </c>
      <c r="D12" s="3">
        <v>1</v>
      </c>
      <c r="E12" s="3">
        <v>1</v>
      </c>
      <c r="F12" s="3">
        <v>0.27029772179629541</v>
      </c>
      <c r="G12" s="8">
        <v>0.62339485003993267</v>
      </c>
      <c r="H12" s="3"/>
      <c r="I12" s="3"/>
      <c r="J12" s="7">
        <f ca="1"/>
        <v>0.36064881895624057</v>
      </c>
      <c r="K12" s="3">
        <f ca="1"/>
        <v>0.27631196286468529</v>
      </c>
      <c r="L12" s="3">
        <f ca="1"/>
        <v>1</v>
      </c>
      <c r="M12" s="3">
        <f ca="1"/>
        <v>0.421640843254806</v>
      </c>
      <c r="N12" s="8">
        <f ca="1"/>
        <v>0.41742634585988858</v>
      </c>
      <c r="O12" s="3"/>
      <c r="P12" s="3"/>
      <c r="Q12" s="7">
        <f ca="1"/>
        <v>0.62339485003993267</v>
      </c>
      <c r="R12" s="3">
        <f ca="1"/>
        <v>0.27029772179629541</v>
      </c>
      <c r="S12" s="3">
        <f ca="1"/>
        <v>1</v>
      </c>
      <c r="T12" s="3">
        <f ca="1"/>
        <v>1</v>
      </c>
      <c r="U12" s="8">
        <f ca="1"/>
        <v>0.52525198154330088</v>
      </c>
      <c r="V12" s="3"/>
      <c r="W12" s="3"/>
      <c r="X12" s="7">
        <f ca="1"/>
        <v>0.23722850910311943</v>
      </c>
      <c r="Y12" s="3">
        <f ca="1"/>
        <v>0.27029772179629541</v>
      </c>
      <c r="Z12" s="3">
        <f ca="1"/>
        <v>0.37750740101690017</v>
      </c>
      <c r="AA12" s="3">
        <f ca="1"/>
        <v>0.421640843254806</v>
      </c>
      <c r="AB12" s="8">
        <f ca="1"/>
        <v>1</v>
      </c>
      <c r="AC12" s="3"/>
      <c r="AD12" s="3"/>
      <c r="AE12" s="7">
        <f ca="1"/>
        <v>1</v>
      </c>
      <c r="AF12" s="3">
        <f ca="1"/>
        <v>0.27631196286468529</v>
      </c>
      <c r="AG12" s="3">
        <f ca="1"/>
        <v>0.33592483261924033</v>
      </c>
      <c r="AH12" s="3">
        <f ca="1"/>
        <v>1</v>
      </c>
      <c r="AI12" s="8">
        <f ca="1"/>
        <v>0.32578388831833338</v>
      </c>
      <c r="AJ12" s="3"/>
      <c r="AK12" s="3"/>
      <c r="AL12" s="7">
        <f ca="1"/>
        <v>1</v>
      </c>
      <c r="AM12" s="3">
        <f ca="1"/>
        <v>1</v>
      </c>
      <c r="AN12" s="3">
        <f ca="1"/>
        <v>0.27029772179629541</v>
      </c>
      <c r="AO12" s="3">
        <f ca="1"/>
        <v>0.62339485003993267</v>
      </c>
      <c r="AP12" s="8">
        <f ca="1"/>
        <v>0</v>
      </c>
      <c r="AQ12" s="3"/>
      <c r="AR12" s="3"/>
      <c r="AS12" s="7">
        <f ca="1"/>
        <v>0.4832398746718175</v>
      </c>
      <c r="AT12" s="3">
        <f ca="1"/>
        <v>0.91578656386624946</v>
      </c>
      <c r="AU12" s="3">
        <f ca="1"/>
        <v>1</v>
      </c>
      <c r="AV12" s="3">
        <f ca="1"/>
        <v>0.29790414162853052</v>
      </c>
      <c r="AW12" s="8">
        <f ca="1"/>
        <v>0.47105480885644757</v>
      </c>
      <c r="AX12" s="3"/>
      <c r="AY12" s="3"/>
      <c r="AZ12" s="7">
        <f ca="1"/>
        <v>0.41742634585988858</v>
      </c>
      <c r="BA12" s="3">
        <f ca="1"/>
        <v>0.421640843254806</v>
      </c>
      <c r="BB12" s="3">
        <f ca="1"/>
        <v>1</v>
      </c>
      <c r="BC12" s="3">
        <f ca="1"/>
        <v>0.27631196286468529</v>
      </c>
      <c r="BD12" s="8">
        <f ca="1"/>
        <v>0.36064881895624057</v>
      </c>
      <c r="BE12" s="3"/>
      <c r="BG12" s="7">
        <f ca="1"/>
        <v>0.49852125027675898</v>
      </c>
      <c r="BH12" s="3">
        <f ca="1"/>
        <v>0.32578388831833338</v>
      </c>
      <c r="BI12" s="3">
        <f ca="1"/>
        <v>1</v>
      </c>
      <c r="BJ12" s="3">
        <f ca="1"/>
        <v>0.23722850910311943</v>
      </c>
      <c r="BK12" s="8">
        <f ca="1"/>
        <v>0.57956457740781953</v>
      </c>
      <c r="BL12" s="3"/>
      <c r="BM12" s="3"/>
      <c r="BN12" s="7">
        <f ca="1"/>
        <v>0.23722850910311943</v>
      </c>
      <c r="BO12" s="3">
        <f ca="1"/>
        <v>0.27029772179629541</v>
      </c>
      <c r="BP12" s="3">
        <f ca="1"/>
        <v>0.37750740101690017</v>
      </c>
      <c r="BQ12" s="3">
        <f ca="1"/>
        <v>0.421640843254806</v>
      </c>
      <c r="BR12" s="8">
        <f ca="1"/>
        <v>1</v>
      </c>
      <c r="BS12" s="3"/>
      <c r="BU12" s="7">
        <f ca="1"/>
        <v>0.29327062365299439</v>
      </c>
      <c r="BV12" s="3">
        <f ca="1"/>
        <v>0.33592483261924033</v>
      </c>
      <c r="BW12" s="3">
        <f ca="1"/>
        <v>1</v>
      </c>
      <c r="BX12" s="3">
        <f ca="1"/>
        <v>0.37750740101690017</v>
      </c>
      <c r="BY12" s="8">
        <f ca="1"/>
        <v>0.44243688278642446</v>
      </c>
      <c r="CA12" s="29"/>
    </row>
    <row r="13" spans="1:86" s="1" customFormat="1" ht="18" customHeight="1" x14ac:dyDescent="0.2">
      <c r="A13" s="7"/>
      <c r="B13" s="202"/>
      <c r="C13" s="7">
        <v>0.29327062365299439</v>
      </c>
      <c r="D13" s="3">
        <v>0.33592483261924033</v>
      </c>
      <c r="E13" s="3">
        <v>1</v>
      </c>
      <c r="F13" s="3">
        <v>0.37750740101690017</v>
      </c>
      <c r="G13" s="8">
        <v>0.44243688278642446</v>
      </c>
      <c r="H13" s="3"/>
      <c r="I13" s="3"/>
      <c r="J13" s="7">
        <f ca="1"/>
        <v>0.29327062365299439</v>
      </c>
      <c r="K13" s="3">
        <f ca="1"/>
        <v>0.33592483261924033</v>
      </c>
      <c r="L13" s="3">
        <f ca="1"/>
        <v>1</v>
      </c>
      <c r="M13" s="3">
        <f ca="1"/>
        <v>0.37750740101690017</v>
      </c>
      <c r="N13" s="8">
        <f ca="1"/>
        <v>0.44243688278642446</v>
      </c>
      <c r="O13" s="3"/>
      <c r="P13" s="3"/>
      <c r="Q13" s="7">
        <f ca="1"/>
        <v>0.44243688278642446</v>
      </c>
      <c r="R13" s="3">
        <f ca="1"/>
        <v>0.37750740101690017</v>
      </c>
      <c r="S13" s="3">
        <f ca="1"/>
        <v>1</v>
      </c>
      <c r="T13" s="3">
        <f ca="1"/>
        <v>0.33592483261924033</v>
      </c>
      <c r="U13" s="8">
        <f ca="1"/>
        <v>0.29327062365299439</v>
      </c>
      <c r="V13" s="3"/>
      <c r="W13" s="3"/>
      <c r="X13" s="7">
        <f ca="1"/>
        <v>1</v>
      </c>
      <c r="Y13" s="3">
        <f ca="1"/>
        <v>1</v>
      </c>
      <c r="Z13" s="3">
        <f ca="1"/>
        <v>1</v>
      </c>
      <c r="AA13" s="3">
        <f ca="1"/>
        <v>1</v>
      </c>
      <c r="AB13" s="8">
        <f ca="1"/>
        <v>1</v>
      </c>
      <c r="AC13" s="3"/>
      <c r="AD13" s="3"/>
      <c r="AE13" s="7">
        <f ca="1"/>
        <v>1</v>
      </c>
      <c r="AF13" s="3">
        <f ca="1"/>
        <v>1</v>
      </c>
      <c r="AG13" s="3">
        <f ca="1"/>
        <v>1</v>
      </c>
      <c r="AH13" s="3">
        <f ca="1"/>
        <v>1</v>
      </c>
      <c r="AI13" s="8">
        <f ca="1"/>
        <v>1</v>
      </c>
      <c r="AJ13" s="3"/>
      <c r="AK13" s="3"/>
      <c r="AL13" s="7">
        <f ca="1"/>
        <v>0.33592483261924033</v>
      </c>
      <c r="AM13" s="3">
        <f ca="1"/>
        <v>1</v>
      </c>
      <c r="AN13" s="3">
        <f ca="1"/>
        <v>0.37750740101690017</v>
      </c>
      <c r="AO13" s="3">
        <f ca="1"/>
        <v>0.44243688278642446</v>
      </c>
      <c r="AP13" s="8">
        <f ca="1"/>
        <v>0</v>
      </c>
      <c r="AQ13" s="3"/>
      <c r="AR13" s="3"/>
      <c r="AS13" s="7">
        <f ca="1"/>
        <v>0.46227252879566716</v>
      </c>
      <c r="AT13" s="3">
        <f ca="1"/>
        <v>0.2963438243067994</v>
      </c>
      <c r="AU13" s="3">
        <f ca="1"/>
        <v>1</v>
      </c>
      <c r="AV13" s="3">
        <f ca="1"/>
        <v>0.36611169559714102</v>
      </c>
      <c r="AW13" s="8">
        <f ca="1"/>
        <v>0.39282577966698456</v>
      </c>
      <c r="AX13" s="3"/>
      <c r="AY13" s="3"/>
      <c r="AZ13" s="7">
        <f ca="1"/>
        <v>0.44243688278642446</v>
      </c>
      <c r="BA13" s="3">
        <f ca="1"/>
        <v>0.37750740101690017</v>
      </c>
      <c r="BB13" s="3">
        <f ca="1"/>
        <v>1</v>
      </c>
      <c r="BC13" s="3">
        <f ca="1"/>
        <v>0.33592483261924033</v>
      </c>
      <c r="BD13" s="8">
        <f ca="1"/>
        <v>0.29327062365299439</v>
      </c>
      <c r="BE13" s="3"/>
      <c r="BG13" s="7">
        <f ca="1"/>
        <v>0.52525198154330088</v>
      </c>
      <c r="BH13" s="3">
        <f ca="1"/>
        <v>1</v>
      </c>
      <c r="BI13" s="3">
        <f ca="1"/>
        <v>1</v>
      </c>
      <c r="BJ13" s="3">
        <f ca="1"/>
        <v>0.27029772179629541</v>
      </c>
      <c r="BK13" s="8">
        <f ca="1"/>
        <v>0.62339485003993267</v>
      </c>
      <c r="BL13" s="3"/>
      <c r="BM13" s="3"/>
      <c r="BN13" s="7">
        <f ca="1"/>
        <v>1</v>
      </c>
      <c r="BO13" s="3">
        <f ca="1"/>
        <v>1</v>
      </c>
      <c r="BP13" s="3">
        <f ca="1"/>
        <v>1</v>
      </c>
      <c r="BQ13" s="3">
        <f ca="1"/>
        <v>1</v>
      </c>
      <c r="BR13" s="8">
        <f ca="1"/>
        <v>1</v>
      </c>
      <c r="BS13" s="3"/>
      <c r="BU13" s="7">
        <f ca="1"/>
        <v>0.36064881895624057</v>
      </c>
      <c r="BV13" s="3">
        <f ca="1"/>
        <v>0.27631196286468529</v>
      </c>
      <c r="BW13" s="3">
        <f ca="1"/>
        <v>1</v>
      </c>
      <c r="BX13" s="3">
        <f ca="1"/>
        <v>0.421640843254806</v>
      </c>
      <c r="BY13" s="8">
        <f ca="1"/>
        <v>0.41742634585988858</v>
      </c>
      <c r="CA13" s="29"/>
    </row>
    <row r="14" spans="1:86" s="1" customFormat="1" ht="18" customHeight="1" x14ac:dyDescent="0.2">
      <c r="A14" s="7"/>
      <c r="B14" s="202"/>
      <c r="C14" s="7">
        <v>0.36064881895624057</v>
      </c>
      <c r="D14" s="3">
        <v>0.27631196286468529</v>
      </c>
      <c r="E14" s="3">
        <v>1</v>
      </c>
      <c r="F14" s="3">
        <v>0.421640843254806</v>
      </c>
      <c r="G14" s="8">
        <v>0.41742634585988858</v>
      </c>
      <c r="H14" s="3"/>
      <c r="I14" s="3"/>
      <c r="J14" s="7">
        <f ca="1"/>
        <v>0.52525198154330088</v>
      </c>
      <c r="K14" s="3">
        <f ca="1"/>
        <v>1</v>
      </c>
      <c r="L14" s="3">
        <f ca="1"/>
        <v>1</v>
      </c>
      <c r="M14" s="3">
        <f ca="1"/>
        <v>0.27029772179629541</v>
      </c>
      <c r="N14" s="8">
        <f ca="1"/>
        <v>0.62339485003993267</v>
      </c>
      <c r="O14" s="3"/>
      <c r="P14" s="3"/>
      <c r="Q14" s="7">
        <f ca="1"/>
        <v>0.41742634585988858</v>
      </c>
      <c r="R14" s="3">
        <f ca="1"/>
        <v>0.421640843254806</v>
      </c>
      <c r="S14" s="3">
        <f ca="1"/>
        <v>1</v>
      </c>
      <c r="T14" s="3">
        <f ca="1"/>
        <v>0.27631196286468529</v>
      </c>
      <c r="U14" s="8">
        <f ca="1"/>
        <v>0.36064881895624057</v>
      </c>
      <c r="V14" s="3"/>
      <c r="W14" s="3"/>
      <c r="X14" s="7">
        <f ca="1"/>
        <v>0.32578388831833338</v>
      </c>
      <c r="Y14" s="3">
        <f ca="1"/>
        <v>1</v>
      </c>
      <c r="Z14" s="3">
        <f ca="1"/>
        <v>0.33592483261924033</v>
      </c>
      <c r="AA14" s="3">
        <f ca="1"/>
        <v>0.27631196286468529</v>
      </c>
      <c r="AB14" s="8">
        <f ca="1"/>
        <v>1</v>
      </c>
      <c r="AC14" s="3"/>
      <c r="AD14" s="3"/>
      <c r="AE14" s="7">
        <f ca="1"/>
        <v>1</v>
      </c>
      <c r="AF14" s="3">
        <f ca="1"/>
        <v>0.421640843254806</v>
      </c>
      <c r="AG14" s="3">
        <f ca="1"/>
        <v>0.37750740101690017</v>
      </c>
      <c r="AH14" s="3">
        <f ca="1"/>
        <v>0.27029772179629541</v>
      </c>
      <c r="AI14" s="8">
        <f ca="1"/>
        <v>0.23722850910311943</v>
      </c>
      <c r="AJ14" s="3"/>
      <c r="AK14" s="3"/>
      <c r="AL14" s="7">
        <f ca="1"/>
        <v>0.27631196286468529</v>
      </c>
      <c r="AM14" s="3">
        <f ca="1"/>
        <v>1</v>
      </c>
      <c r="AN14" s="3">
        <f ca="1"/>
        <v>0.421640843254806</v>
      </c>
      <c r="AO14" s="3">
        <f ca="1"/>
        <v>0.41742634585988858</v>
      </c>
      <c r="AP14" s="8">
        <f ca="1"/>
        <v>0</v>
      </c>
      <c r="AQ14" s="3"/>
      <c r="AR14" s="3"/>
      <c r="AS14" s="7">
        <f ca="1"/>
        <v>0.46475302751025693</v>
      </c>
      <c r="AT14" s="3">
        <f ca="1"/>
        <v>0.37374339602705542</v>
      </c>
      <c r="AU14" s="3">
        <f ca="1"/>
        <v>0.82825986249710248</v>
      </c>
      <c r="AV14" s="3">
        <f ca="1"/>
        <v>0.58775059878099001</v>
      </c>
      <c r="AW14" s="8">
        <f ca="1"/>
        <v>0.22627435146535574</v>
      </c>
      <c r="AX14" s="3"/>
      <c r="AY14" s="3"/>
      <c r="AZ14" s="7">
        <f ca="1"/>
        <v>0.62339485003993267</v>
      </c>
      <c r="BA14" s="3">
        <f ca="1"/>
        <v>0.27029772179629541</v>
      </c>
      <c r="BB14" s="3">
        <f ca="1"/>
        <v>1</v>
      </c>
      <c r="BC14" s="3">
        <f ca="1"/>
        <v>1</v>
      </c>
      <c r="BD14" s="8">
        <f ca="1"/>
        <v>0.52525198154330088</v>
      </c>
      <c r="BE14" s="3"/>
      <c r="BG14" s="7">
        <f ca="1"/>
        <v>0.29327062365299439</v>
      </c>
      <c r="BH14" s="3">
        <f ca="1"/>
        <v>0.33592483261924033</v>
      </c>
      <c r="BI14" s="3">
        <f ca="1"/>
        <v>1</v>
      </c>
      <c r="BJ14" s="3">
        <f ca="1"/>
        <v>0.37750740101690017</v>
      </c>
      <c r="BK14" s="8">
        <f ca="1"/>
        <v>0.44243688278642446</v>
      </c>
      <c r="BL14" s="3"/>
      <c r="BM14" s="3"/>
      <c r="BN14" s="7">
        <f ca="1"/>
        <v>0.32578388831833338</v>
      </c>
      <c r="BO14" s="3">
        <f ca="1"/>
        <v>1</v>
      </c>
      <c r="BP14" s="3">
        <f ca="1"/>
        <v>0.33592483261924033</v>
      </c>
      <c r="BQ14" s="3">
        <f ca="1"/>
        <v>0.27631196286468529</v>
      </c>
      <c r="BR14" s="8">
        <f ca="1"/>
        <v>1</v>
      </c>
      <c r="BS14" s="3"/>
      <c r="BU14" s="7">
        <f ca="1"/>
        <v>0.33432835099577984</v>
      </c>
      <c r="BV14" s="3">
        <f ca="1"/>
        <v>1</v>
      </c>
      <c r="BW14" s="3">
        <f ca="1"/>
        <v>1</v>
      </c>
      <c r="BX14" s="3">
        <f ca="1"/>
        <v>1</v>
      </c>
      <c r="BY14" s="8">
        <f ca="1"/>
        <v>0.1822231626746742</v>
      </c>
      <c r="CA14" s="29"/>
    </row>
    <row r="15" spans="1:86" s="1" customFormat="1" ht="18" customHeight="1" thickBot="1" x14ac:dyDescent="0.25">
      <c r="A15" s="7"/>
      <c r="B15" s="202"/>
      <c r="C15" s="9">
        <v>0.33432835099577984</v>
      </c>
      <c r="D15" s="10">
        <v>1</v>
      </c>
      <c r="E15" s="10">
        <v>1</v>
      </c>
      <c r="F15" s="10">
        <v>1</v>
      </c>
      <c r="G15" s="11">
        <v>0.1822231626746742</v>
      </c>
      <c r="H15" s="3"/>
      <c r="I15" s="3"/>
      <c r="J15" s="9">
        <f ca="1"/>
        <v>0.49852125027675898</v>
      </c>
      <c r="K15" s="10">
        <f ca="1"/>
        <v>0.32578388831833338</v>
      </c>
      <c r="L15" s="10">
        <f ca="1"/>
        <v>1</v>
      </c>
      <c r="M15" s="10">
        <f ca="1"/>
        <v>0.23722850910311943</v>
      </c>
      <c r="N15" s="11">
        <f ca="1"/>
        <v>0.57956457740781953</v>
      </c>
      <c r="O15" s="3"/>
      <c r="P15" s="3"/>
      <c r="Q15" s="9">
        <f ca="1"/>
        <v>0.1822231626746742</v>
      </c>
      <c r="R15" s="10">
        <f ca="1"/>
        <v>1</v>
      </c>
      <c r="S15" s="10">
        <f ca="1"/>
        <v>1</v>
      </c>
      <c r="T15" s="10">
        <f ca="1"/>
        <v>1</v>
      </c>
      <c r="U15" s="11">
        <f ca="1"/>
        <v>0.33432835099577984</v>
      </c>
      <c r="V15" s="3"/>
      <c r="W15" s="3"/>
      <c r="X15" s="9">
        <f ca="1"/>
        <v>0.49852125027675898</v>
      </c>
      <c r="Y15" s="10">
        <f ca="1"/>
        <v>0.52525198154330088</v>
      </c>
      <c r="Z15" s="10">
        <f ca="1"/>
        <v>0.29327062365299439</v>
      </c>
      <c r="AA15" s="10">
        <f ca="1"/>
        <v>0.36064881895624057</v>
      </c>
      <c r="AB15" s="11">
        <f ca="1"/>
        <v>0.33432835099577984</v>
      </c>
      <c r="AC15" s="3"/>
      <c r="AD15" s="3"/>
      <c r="AE15" s="9">
        <f ca="1"/>
        <v>0.1822231626746742</v>
      </c>
      <c r="AF15" s="10">
        <f ca="1"/>
        <v>0.41742634585988858</v>
      </c>
      <c r="AG15" s="10">
        <f ca="1"/>
        <v>0.44243688278642446</v>
      </c>
      <c r="AH15" s="10">
        <f ca="1"/>
        <v>0.62339485003993267</v>
      </c>
      <c r="AI15" s="11">
        <f ca="1"/>
        <v>0.57956457740781953</v>
      </c>
      <c r="AJ15" s="3"/>
      <c r="AK15" s="3"/>
      <c r="AL15" s="9">
        <f ca="1"/>
        <v>1</v>
      </c>
      <c r="AM15" s="10">
        <f ca="1"/>
        <v>1</v>
      </c>
      <c r="AN15" s="10">
        <f ca="1"/>
        <v>1</v>
      </c>
      <c r="AO15" s="10">
        <f ca="1"/>
        <v>0.1822231626746742</v>
      </c>
      <c r="AP15" s="11">
        <f ca="1"/>
        <v>0</v>
      </c>
      <c r="AQ15" s="3"/>
      <c r="AR15" s="3"/>
      <c r="AS15" s="9">
        <f ca="1"/>
        <v>0.36087695064522135</v>
      </c>
      <c r="AT15" s="10">
        <f ca="1"/>
        <v>0.86878904574687843</v>
      </c>
      <c r="AU15" s="10">
        <f ca="1"/>
        <v>0.9958563458809272</v>
      </c>
      <c r="AV15" s="10">
        <f ca="1"/>
        <v>0.87007114602467639</v>
      </c>
      <c r="AW15" s="11">
        <f ca="1"/>
        <v>0.35052802682007311</v>
      </c>
      <c r="AX15" s="3"/>
      <c r="AY15" s="3"/>
      <c r="AZ15" s="9">
        <f ca="1"/>
        <v>0.57956457740781953</v>
      </c>
      <c r="BA15" s="10">
        <f ca="1"/>
        <v>0.23722850910311943</v>
      </c>
      <c r="BB15" s="10">
        <f ca="1"/>
        <v>1</v>
      </c>
      <c r="BC15" s="10">
        <f ca="1"/>
        <v>0.32578388831833338</v>
      </c>
      <c r="BD15" s="11">
        <f ca="1"/>
        <v>0.49852125027675898</v>
      </c>
      <c r="BE15" s="3"/>
      <c r="BG15" s="9">
        <f ca="1"/>
        <v>0.36064881895624057</v>
      </c>
      <c r="BH15" s="10">
        <f ca="1"/>
        <v>0.27631196286468529</v>
      </c>
      <c r="BI15" s="10">
        <f ca="1"/>
        <v>1</v>
      </c>
      <c r="BJ15" s="10">
        <f ca="1"/>
        <v>0.421640843254806</v>
      </c>
      <c r="BK15" s="11">
        <f ca="1"/>
        <v>0.41742634585988858</v>
      </c>
      <c r="BL15" s="3"/>
      <c r="BM15" s="3"/>
      <c r="BN15" s="9">
        <f ca="1"/>
        <v>0.49852125027675898</v>
      </c>
      <c r="BO15" s="10">
        <f ca="1"/>
        <v>0.52525198154330088</v>
      </c>
      <c r="BP15" s="10">
        <f ca="1"/>
        <v>0.29327062365299439</v>
      </c>
      <c r="BQ15" s="10">
        <f ca="1"/>
        <v>0.36064881895624057</v>
      </c>
      <c r="BR15" s="11">
        <f ca="1"/>
        <v>0.33432835099577984</v>
      </c>
      <c r="BS15" s="3"/>
      <c r="BU15" s="9">
        <f ca="1"/>
        <v>0</v>
      </c>
      <c r="BV15" s="10">
        <f ca="1"/>
        <v>0</v>
      </c>
      <c r="BW15" s="10">
        <f ca="1"/>
        <v>0</v>
      </c>
      <c r="BX15" s="10">
        <f ca="1"/>
        <v>0</v>
      </c>
      <c r="BY15" s="11">
        <f ca="1"/>
        <v>0</v>
      </c>
      <c r="CA15" s="29"/>
    </row>
    <row r="16" spans="1:86" s="1" customFormat="1" ht="18" customHeight="1" x14ac:dyDescent="0.2">
      <c r="A16" s="7"/>
      <c r="B16" s="2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U16" s="3"/>
      <c r="BV16" s="3"/>
      <c r="BW16" s="3"/>
      <c r="BX16" s="3"/>
      <c r="BY16" s="3"/>
      <c r="CA16" s="29"/>
    </row>
    <row r="17" spans="1:86" s="1" customFormat="1" ht="18" customHeight="1" thickBot="1" x14ac:dyDescent="0.25">
      <c r="A17" s="7"/>
      <c r="B17" s="202">
        <v>2</v>
      </c>
      <c r="C17" s="200" t="s">
        <v>9</v>
      </c>
      <c r="D17" s="200"/>
      <c r="E17" s="200"/>
      <c r="F17" s="200"/>
      <c r="G17" s="200"/>
      <c r="H17" s="28"/>
      <c r="I17" s="3"/>
      <c r="J17" s="200" t="str" cm="1">
        <f t="array" aca="1" ref="J17" ca="1">INDEX(Helper!$E$13:$E$22, OFFSET(Helper!$J$13,$B17,J$2))</f>
        <v>Shift Left</v>
      </c>
      <c r="K17" s="200"/>
      <c r="L17" s="200"/>
      <c r="M17" s="200"/>
      <c r="N17" s="200"/>
      <c r="O17" s="3"/>
      <c r="P17" s="3"/>
      <c r="Q17" s="200" t="str" cm="1">
        <f t="array" aca="1" ref="Q17" ca="1">INDEX(Helper!$E$13:$E$22, OFFSET(Helper!$J$13,$B17,Q$2))</f>
        <v>Noise</v>
      </c>
      <c r="R17" s="200"/>
      <c r="S17" s="200"/>
      <c r="T17" s="200"/>
      <c r="U17" s="200"/>
      <c r="V17" s="3"/>
      <c r="W17" s="3"/>
      <c r="X17" s="200" t="str" cm="1">
        <f t="array" aca="1" ref="X17" ca="1">INDEX(Helper!$E$13:$E$22, OFFSET(Helper!$J$13,$B17,X$2))</f>
        <v>Shift Up</v>
      </c>
      <c r="Y17" s="200"/>
      <c r="Z17" s="200"/>
      <c r="AA17" s="200"/>
      <c r="AB17" s="200"/>
      <c r="AC17" s="3"/>
      <c r="AD17" s="3"/>
      <c r="AE17" s="200" t="str" cm="1">
        <f t="array" aca="1" ref="AE17" ca="1">INDEX(Helper!$E$13:$E$22, OFFSET(Helper!$J$13,$B17,AE$2))</f>
        <v>Shift Right</v>
      </c>
      <c r="AF17" s="200"/>
      <c r="AG17" s="200"/>
      <c r="AH17" s="200"/>
      <c r="AI17" s="200"/>
      <c r="AJ17" s="3"/>
      <c r="AK17" s="3"/>
      <c r="AL17" s="200" t="str" cm="1">
        <f t="array" aca="1" ref="AL17" ca="1">INDEX(Helper!$E$13:$E$22, OFFSET(Helper!$J$13,$B17,AL$2))</f>
        <v>Shift Down</v>
      </c>
      <c r="AM17" s="200"/>
      <c r="AN17" s="200"/>
      <c r="AO17" s="200"/>
      <c r="AP17" s="200"/>
      <c r="AQ17" s="3"/>
      <c r="AR17" s="3"/>
      <c r="AS17" s="200" t="str" cm="1">
        <f t="array" aca="1" ref="AS17" ca="1">INDEX(Helper!$E$13:$E$22, OFFSET(Helper!$J$13,$B17,AS$2))</f>
        <v>180 Rotation</v>
      </c>
      <c r="AT17" s="200"/>
      <c r="AU17" s="200"/>
      <c r="AV17" s="200"/>
      <c r="AW17" s="200"/>
      <c r="AX17" s="3"/>
      <c r="AY17" s="3"/>
      <c r="AZ17" s="200" t="str" cm="1">
        <f t="array" aca="1" ref="AZ17" ca="1">INDEX(Helper!$E$13:$E$22, OFFSET(Helper!$J$13,$B17,AZ$2))</f>
        <v>90 CCW</v>
      </c>
      <c r="BA17" s="200"/>
      <c r="BB17" s="200"/>
      <c r="BC17" s="200"/>
      <c r="BD17" s="200"/>
      <c r="BE17" s="3"/>
      <c r="BG17" s="200" t="str" cm="1">
        <f t="array" aca="1" ref="BG17" ca="1">INDEX(Helper!$E$13:$E$22, OFFSET(Helper!$J$13,$B17,BG$2))</f>
        <v>Vertical Flip</v>
      </c>
      <c r="BH17" s="200"/>
      <c r="BI17" s="200"/>
      <c r="BJ17" s="200"/>
      <c r="BK17" s="200"/>
      <c r="BL17" s="3"/>
      <c r="BM17" s="3"/>
      <c r="BN17" s="200" t="str" cm="1">
        <f t="array" aca="1" ref="BN17" ca="1">INDEX(Helper!$E$13:$E$22, OFFSET(Helper!$J$13,$B17,BN$2))</f>
        <v>Horizontal Flip</v>
      </c>
      <c r="BO17" s="200"/>
      <c r="BP17" s="200"/>
      <c r="BQ17" s="200"/>
      <c r="BR17" s="200"/>
      <c r="BS17" s="3"/>
      <c r="BU17" s="200" t="str" cm="1">
        <f t="array" aca="1" ref="BU17" ca="1">INDEX(Helper!$E$13:$E$22, OFFSET(Helper!$J$13,$B17,BU$2))</f>
        <v>90 CW</v>
      </c>
      <c r="BV17" s="200"/>
      <c r="BW17" s="200"/>
      <c r="BX17" s="200"/>
      <c r="BY17" s="200"/>
      <c r="CA17" s="29"/>
    </row>
    <row r="18" spans="1:86" s="1" customFormat="1" ht="18" customHeight="1" x14ac:dyDescent="0.2">
      <c r="A18" s="7"/>
      <c r="B18" s="202"/>
      <c r="C18" s="4">
        <v>0.28348784389975801</v>
      </c>
      <c r="D18" s="5">
        <v>1</v>
      </c>
      <c r="E18" s="5">
        <v>1</v>
      </c>
      <c r="F18" s="5">
        <v>1</v>
      </c>
      <c r="G18" s="6">
        <v>0.23264271679063597</v>
      </c>
      <c r="H18" s="3"/>
      <c r="I18" s="3"/>
      <c r="J18" s="4" cm="1">
        <f t="array" aca="1" ref="J18:N22" ca="1">_xlfn.IFS(J17="None",  $C18:$G22*0,           J17="Horizontal Flip", INDEX($C18:$G22, _xlfn.SEQUENCE(5), 6 - _xlfn.SEQUENCE(1,5)),        J17="Vertical Flip", INDEX($C18:$G22, 6 - _xlfn.SEQUENCE(5), _xlfn.SEQUENCE(1,5)),      J17="180 Rotation", INDEX($C18:$G22, 6 - _xlfn.SEQUENCE(5), 6 - _xlfn.SEQUENCE(1,5)),        J17="90 CW", INDEX($C18:$G22, 6 - _xlfn.SEQUENCE(1,5), _xlfn.SEQUENCE(5)),          J17="90 CCW", INDEX($C18:$G22, _xlfn.SEQUENCE(1,5), 6 - _xlfn.SEQUENCE(5)),         J17="Shift Up", IF(_xlfn.SEQUENCE(5)+1&lt;=5, INDEX($C18:$G22, _xlfn.SEQUENCE(5)+1, _xlfn.SEQUENCE(1,5)), 0),         J17="Shift Down", IF(_xlfn.SEQUENCE(5)-1&gt;=1, INDEX($C18:$G22, _xlfn.SEQUENCE(5)-1, _xlfn.SEQUENCE(1,5)), 0),         J17="Shift Left",   IF(_xlfn.SEQUENCE(1,5)+1&lt;=5, INDEX($C18:$G22, _xlfn.SEQUENCE(5), _xlfn.SEQUENCE(1,5)+1),0),         J17= "Shift Right",  IF(_xlfn.SEQUENCE(1,5)-1&gt;=1, INDEX($C18:$G22, _xlfn.SEQUENCE(5), _xlfn.SEQUENCE(1,5)-1), 0),        J17="Noise",  _xlfn.MAP($C18:$G22 + (_xlfn.RANDARRAY(ROWS($C18:$G22), COLUMNS($C18:$G22)) - 0.5) * 0.4, _xlfn.LAMBDA(_xlpm.x, MAX(0, MIN(1, _xlpm.x)))))</f>
        <v>1</v>
      </c>
      <c r="K18" s="5">
        <f ca="1"/>
        <v>1</v>
      </c>
      <c r="L18" s="5">
        <f ca="1"/>
        <v>1</v>
      </c>
      <c r="M18" s="5">
        <f ca="1"/>
        <v>0.23264271679063597</v>
      </c>
      <c r="N18" s="6">
        <f ca="1"/>
        <v>0</v>
      </c>
      <c r="O18" s="3"/>
      <c r="P18" s="3"/>
      <c r="Q18" s="4" cm="1">
        <f t="array" aca="1" ref="Q18:U22" ca="1">_xlfn.IFS(Q17="None",  $C18:$G22*0,           Q17="Horizontal Flip", INDEX($C18:$G22, _xlfn.SEQUENCE(5), 6 - _xlfn.SEQUENCE(1,5)),        Q17="Vertical Flip", INDEX($C18:$G22, 6 - _xlfn.SEQUENCE(5), _xlfn.SEQUENCE(1,5)),      Q17="180 Rotation", INDEX($C18:$G22, 6 - _xlfn.SEQUENCE(5), 6 - _xlfn.SEQUENCE(1,5)),        Q17="90 CW", INDEX($C18:$G22, 6 - _xlfn.SEQUENCE(1,5), _xlfn.SEQUENCE(5)),          Q17="90 CCW", INDEX($C18:$G22, _xlfn.SEQUENCE(1,5), 6 - _xlfn.SEQUENCE(5)),         Q17="Shift Up", IF(_xlfn.SEQUENCE(5)+1&lt;=5, INDEX($C18:$G22, _xlfn.SEQUENCE(5)+1, _xlfn.SEQUENCE(1,5)), 0),         Q17="Shift Down", IF(_xlfn.SEQUENCE(5)-1&gt;=1, INDEX($C18:$G22, _xlfn.SEQUENCE(5)-1, _xlfn.SEQUENCE(1,5)), 0),         Q17="Shift Left",   IF(_xlfn.SEQUENCE(1,5)+1&lt;=5, INDEX($C18:$G22, _xlfn.SEQUENCE(5), _xlfn.SEQUENCE(1,5)+1),0),         Q17= "Shift Right",  IF(_xlfn.SEQUENCE(1,5)-1&gt;=1, INDEX($C18:$G22, _xlfn.SEQUENCE(5), _xlfn.SEQUENCE(1,5)-1), 0),        Q17="Noise",  _xlfn.MAP($C18:$G22 + (_xlfn.RANDARRAY(ROWS($C18:$G22), COLUMNS($C18:$G22)) - 0.5) * 0.4, _xlfn.LAMBDA(_xlpm.x, MAX(0, MIN(1, _xlpm.x)))))</f>
        <v>0.40136832499404801</v>
      </c>
      <c r="R18" s="5">
        <f ca="1"/>
        <v>1</v>
      </c>
      <c r="S18" s="5">
        <f ca="1"/>
        <v>1</v>
      </c>
      <c r="T18" s="5">
        <f ca="1"/>
        <v>0.82645624349003577</v>
      </c>
      <c r="U18" s="6">
        <f ca="1"/>
        <v>0.18418391115108051</v>
      </c>
      <c r="V18" s="3"/>
      <c r="W18" s="3"/>
      <c r="X18" s="4" cm="1">
        <f t="array" aca="1" ref="X18:AB22" ca="1">_xlfn.IFS(X17="None",  $C18:$G22*0,           X17="Horizontal Flip", INDEX($C18:$G22, _xlfn.SEQUENCE(5), 6 - _xlfn.SEQUENCE(1,5)),        X17="Vertical Flip", INDEX($C18:$G22, 6 - _xlfn.SEQUENCE(5), _xlfn.SEQUENCE(1,5)),      X17="180 Rotation", INDEX($C18:$G22, 6 - _xlfn.SEQUENCE(5), 6 - _xlfn.SEQUENCE(1,5)),        X17="90 CW", INDEX($C18:$G22, 6 - _xlfn.SEQUENCE(1,5), _xlfn.SEQUENCE(5)),          X17="90 CCW", INDEX($C18:$G22, _xlfn.SEQUENCE(1,5), 6 - _xlfn.SEQUENCE(5)),         X17="Shift Up", IF(_xlfn.SEQUENCE(5)+1&lt;=5, INDEX($C18:$G22, _xlfn.SEQUENCE(5)+1, _xlfn.SEQUENCE(1,5)), 0),         X17="Shift Down", IF(_xlfn.SEQUENCE(5)-1&gt;=1, INDEX($C18:$G22, _xlfn.SEQUENCE(5)-1, _xlfn.SEQUENCE(1,5)), 0),         X17="Shift Left",   IF(_xlfn.SEQUENCE(1,5)+1&lt;=5, INDEX($C18:$G22, _xlfn.SEQUENCE(5), _xlfn.SEQUENCE(1,5)+1),0),         X17= "Shift Right",  IF(_xlfn.SEQUENCE(1,5)-1&gt;=1, INDEX($C18:$G22, _xlfn.SEQUENCE(5), _xlfn.SEQUENCE(1,5)-1), 0),        X17="Noise",  _xlfn.MAP($C18:$G22 + (_xlfn.RANDARRAY(ROWS($C18:$G22), COLUMNS($C18:$G22)) - 0.5) * 0.4, _xlfn.LAMBDA(_xlpm.x, MAX(0, MIN(1, _xlpm.x)))))</f>
        <v>0.46624031863022442</v>
      </c>
      <c r="Y18" s="5">
        <f ca="1"/>
        <v>0.62000165310500521</v>
      </c>
      <c r="Z18" s="5">
        <f ca="1"/>
        <v>0.34934611756953626</v>
      </c>
      <c r="AA18" s="5">
        <f ca="1"/>
        <v>1</v>
      </c>
      <c r="AB18" s="6">
        <f ca="1"/>
        <v>0.55681087725048883</v>
      </c>
      <c r="AC18" s="3"/>
      <c r="AD18" s="3"/>
      <c r="AE18" s="4" cm="1">
        <f t="array" aca="1" ref="AE18:AI22" ca="1">_xlfn.IFS(AE17="None",  $C18:$G22*0,           AE17="Horizontal Flip", INDEX($C18:$G22, _xlfn.SEQUENCE(5), 6 - _xlfn.SEQUENCE(1,5)),        AE17="Vertical Flip", INDEX($C18:$G22, 6 - _xlfn.SEQUENCE(5), _xlfn.SEQUENCE(1,5)),      AE17="180 Rotation", INDEX($C18:$G22, 6 - _xlfn.SEQUENCE(5), 6 - _xlfn.SEQUENCE(1,5)),        AE17="90 CW", INDEX($C18:$G22, 6 - _xlfn.SEQUENCE(1,5), _xlfn.SEQUENCE(5)),          AE17="90 CCW", INDEX($C18:$G22, _xlfn.SEQUENCE(1,5), 6 - _xlfn.SEQUENCE(5)),         AE17="Shift Up", IF(_xlfn.SEQUENCE(5)+1&lt;=5, INDEX($C18:$G22, _xlfn.SEQUENCE(5)+1, _xlfn.SEQUENCE(1,5)), 0),         AE17="Shift Down", IF(_xlfn.SEQUENCE(5)-1&gt;=1, INDEX($C18:$G22, _xlfn.SEQUENCE(5)-1, _xlfn.SEQUENCE(1,5)), 0),         AE17="Shift Left",   IF(_xlfn.SEQUENCE(1,5)+1&lt;=5, INDEX($C18:$G22, _xlfn.SEQUENCE(5), _xlfn.SEQUENCE(1,5)+1),0),         AE17= "Shift Right",  IF(_xlfn.SEQUENCE(1,5)-1&gt;=1, INDEX($C18:$G22, _xlfn.SEQUENCE(5), _xlfn.SEQUENCE(1,5)-1), 0),        AE17="Noise",  _xlfn.MAP($C18:$G22 + (_xlfn.RANDARRAY(ROWS($C18:$G22), COLUMNS($C18:$G22)) - 0.5) * 0.4, _xlfn.LAMBDA(_xlpm.x, MAX(0, MIN(1, _xlpm.x)))))</f>
        <v>0</v>
      </c>
      <c r="AF18" s="5">
        <f ca="1"/>
        <v>0.28348784389975801</v>
      </c>
      <c r="AG18" s="5">
        <f ca="1"/>
        <v>1</v>
      </c>
      <c r="AH18" s="5">
        <f ca="1"/>
        <v>1</v>
      </c>
      <c r="AI18" s="6">
        <f ca="1"/>
        <v>1</v>
      </c>
      <c r="AJ18" s="3"/>
      <c r="AK18" s="3"/>
      <c r="AL18" s="4" cm="1">
        <f t="array" aca="1" ref="AL18:AP22" ca="1">_xlfn.IFS(AL17="None",  $C18:$G22*0,           AL17="Horizontal Flip", INDEX($C18:$G22, _xlfn.SEQUENCE(5), 6 - _xlfn.SEQUENCE(1,5)),        AL17="Vertical Flip", INDEX($C18:$G22, 6 - _xlfn.SEQUENCE(5), _xlfn.SEQUENCE(1,5)),      AL17="180 Rotation", INDEX($C18:$G22, 6 - _xlfn.SEQUENCE(5), 6 - _xlfn.SEQUENCE(1,5)),        AL17="90 CW", INDEX($C18:$G22, 6 - _xlfn.SEQUENCE(1,5), _xlfn.SEQUENCE(5)),          AL17="90 CCW", INDEX($C18:$G22, _xlfn.SEQUENCE(1,5), 6 - _xlfn.SEQUENCE(5)),         AL17="Shift Up", IF(_xlfn.SEQUENCE(5)+1&lt;=5, INDEX($C18:$G22, _xlfn.SEQUENCE(5)+1, _xlfn.SEQUENCE(1,5)), 0),         AL17="Shift Down", IF(_xlfn.SEQUENCE(5)-1&gt;=1, INDEX($C18:$G22, _xlfn.SEQUENCE(5)-1, _xlfn.SEQUENCE(1,5)), 0),         AL17="Shift Left",   IF(_xlfn.SEQUENCE(1,5)+1&lt;=5, INDEX($C18:$G22, _xlfn.SEQUENCE(5), _xlfn.SEQUENCE(1,5)+1),0),         AL17= "Shift Right",  IF(_xlfn.SEQUENCE(1,5)-1&gt;=1, INDEX($C18:$G22, _xlfn.SEQUENCE(5), _xlfn.SEQUENCE(1,5)-1), 0),        AL17="Noise",  _xlfn.MAP($C18:$G22 + (_xlfn.RANDARRAY(ROWS($C18:$G22), COLUMNS($C18:$G22)) - 0.5) * 0.4, _xlfn.LAMBDA(_xlpm.x, MAX(0, MIN(1, _xlpm.x)))))</f>
        <v>0</v>
      </c>
      <c r="AM18" s="5">
        <f ca="1"/>
        <v>0</v>
      </c>
      <c r="AN18" s="5">
        <f ca="1"/>
        <v>0</v>
      </c>
      <c r="AO18" s="5">
        <f ca="1"/>
        <v>0</v>
      </c>
      <c r="AP18" s="6">
        <f ca="1"/>
        <v>0</v>
      </c>
      <c r="AQ18" s="3"/>
      <c r="AR18" s="3"/>
      <c r="AS18" s="4" cm="1">
        <f t="array" aca="1" ref="AS18:AW22" ca="1">_xlfn.IFS(AS17="None",  $C18:$G22*0,           AS17="Horizontal Flip", INDEX($C18:$G22, _xlfn.SEQUENCE(5), 6 - _xlfn.SEQUENCE(1,5)),        AS17="Vertical Flip", INDEX($C18:$G22, 6 - _xlfn.SEQUENCE(5), _xlfn.SEQUENCE(1,5)),      AS17="180 Rotation", INDEX($C18:$G22, 6 - _xlfn.SEQUENCE(5), 6 - _xlfn.SEQUENCE(1,5)),        AS17="90 CW", INDEX($C18:$G22, 6 - _xlfn.SEQUENCE(1,5), _xlfn.SEQUENCE(5)),          AS17="90 CCW", INDEX($C18:$G22, _xlfn.SEQUENCE(1,5), 6 - _xlfn.SEQUENCE(5)),         AS17="Shift Up", IF(_xlfn.SEQUENCE(5)+1&lt;=5, INDEX($C18:$G22, _xlfn.SEQUENCE(5)+1, _xlfn.SEQUENCE(1,5)), 0),         AS17="Shift Down", IF(_xlfn.SEQUENCE(5)-1&gt;=1, INDEX($C18:$G22, _xlfn.SEQUENCE(5)-1, _xlfn.SEQUENCE(1,5)), 0),         AS17="Shift Left",   IF(_xlfn.SEQUENCE(1,5)+1&lt;=5, INDEX($C18:$G22, _xlfn.SEQUENCE(5), _xlfn.SEQUENCE(1,5)+1),0),         AS17= "Shift Right",  IF(_xlfn.SEQUENCE(1,5)-1&gt;=1, INDEX($C18:$G22, _xlfn.SEQUENCE(5), _xlfn.SEQUENCE(1,5)-1), 0),        AS17="Noise",  _xlfn.MAP($C18:$G22 + (_xlfn.RANDARRAY(ROWS($C18:$G22), COLUMNS($C18:$G22)) - 0.5) * 0.4, _xlfn.LAMBDA(_xlpm.x, MAX(0, MIN(1, _xlpm.x)))))</f>
        <v>0.29482848402023243</v>
      </c>
      <c r="AT18" s="5">
        <f ca="1"/>
        <v>1</v>
      </c>
      <c r="AU18" s="5">
        <f ca="1"/>
        <v>1</v>
      </c>
      <c r="AV18" s="5">
        <f ca="1"/>
        <v>1</v>
      </c>
      <c r="AW18" s="6">
        <f ca="1"/>
        <v>0.61985860966187845</v>
      </c>
      <c r="AX18" s="3"/>
      <c r="AY18" s="3"/>
      <c r="AZ18" s="4" cm="1">
        <f t="array" aca="1" ref="AZ18:BD22" ca="1">_xlfn.IFS(AZ17="None",  $C18:$G22*0,           AZ17="Horizontal Flip", INDEX($C18:$G22, _xlfn.SEQUENCE(5), 6 - _xlfn.SEQUENCE(1,5)),        AZ17="Vertical Flip", INDEX($C18:$G22, 6 - _xlfn.SEQUENCE(5), _xlfn.SEQUENCE(1,5)),      AZ17="180 Rotation", INDEX($C18:$G22, 6 - _xlfn.SEQUENCE(5), 6 - _xlfn.SEQUENCE(1,5)),        AZ17="90 CW", INDEX($C18:$G22, 6 - _xlfn.SEQUENCE(1,5), _xlfn.SEQUENCE(5)),          AZ17="90 CCW", INDEX($C18:$G22, _xlfn.SEQUENCE(1,5), 6 - _xlfn.SEQUENCE(5)),         AZ17="Shift Up", IF(_xlfn.SEQUENCE(5)+1&lt;=5, INDEX($C18:$G22, _xlfn.SEQUENCE(5)+1, _xlfn.SEQUENCE(1,5)), 0),         AZ17="Shift Down", IF(_xlfn.SEQUENCE(5)-1&gt;=1, INDEX($C18:$G22, _xlfn.SEQUENCE(5)-1, _xlfn.SEQUENCE(1,5)), 0),         AZ17="Shift Left",   IF(_xlfn.SEQUENCE(1,5)+1&lt;=5, INDEX($C18:$G22, _xlfn.SEQUENCE(5), _xlfn.SEQUENCE(1,5)+1),0),         AZ17= "Shift Right",  IF(_xlfn.SEQUENCE(1,5)-1&gt;=1, INDEX($C18:$G22, _xlfn.SEQUENCE(5), _xlfn.SEQUENCE(1,5)-1), 0),        AZ17="Noise",  _xlfn.MAP($C18:$G22 + (_xlfn.RANDARRAY(ROWS($C18:$G22), COLUMNS($C18:$G22)) - 0.5) * 0.4, _xlfn.LAMBDA(_xlpm.x, MAX(0, MIN(1, _xlpm.x)))))</f>
        <v>0.23264271679063597</v>
      </c>
      <c r="BA18" s="5">
        <f ca="1"/>
        <v>0.55681087725048883</v>
      </c>
      <c r="BB18" s="5">
        <f ca="1"/>
        <v>0.31557816623100499</v>
      </c>
      <c r="BC18" s="5">
        <f ca="1"/>
        <v>0.23950234677576021</v>
      </c>
      <c r="BD18" s="6">
        <f ca="1"/>
        <v>0.29482848402023243</v>
      </c>
      <c r="BE18" s="3"/>
      <c r="BG18" s="4" cm="1">
        <f t="array" aca="1" ref="BG18:BK22" ca="1">_xlfn.IFS(BG17="None",  $C18:$G22*0,           BG17="Horizontal Flip", INDEX($C18:$G22, _xlfn.SEQUENCE(5), 6 - _xlfn.SEQUENCE(1,5)),        BG17="Vertical Flip", INDEX($C18:$G22, 6 - _xlfn.SEQUENCE(5), _xlfn.SEQUENCE(1,5)),      BG17="180 Rotation", INDEX($C18:$G22, 6 - _xlfn.SEQUENCE(5), 6 - _xlfn.SEQUENCE(1,5)),        BG17="90 CW", INDEX($C18:$G22, 6 - _xlfn.SEQUENCE(1,5), _xlfn.SEQUENCE(5)),          BG17="90 CCW", INDEX($C18:$G22, _xlfn.SEQUENCE(1,5), 6 - _xlfn.SEQUENCE(5)),         BG17="Shift Up", IF(_xlfn.SEQUENCE(5)+1&lt;=5, INDEX($C18:$G22, _xlfn.SEQUENCE(5)+1, _xlfn.SEQUENCE(1,5)), 0),         BG17="Shift Down", IF(_xlfn.SEQUENCE(5)-1&gt;=1, INDEX($C18:$G22, _xlfn.SEQUENCE(5)-1, _xlfn.SEQUENCE(1,5)), 0),         BG17="Shift Left",   IF(_xlfn.SEQUENCE(1,5)+1&lt;=5, INDEX($C18:$G22, _xlfn.SEQUENCE(5), _xlfn.SEQUENCE(1,5)+1),0),         BG17= "Shift Right",  IF(_xlfn.SEQUENCE(1,5)-1&gt;=1, INDEX($C18:$G22, _xlfn.SEQUENCE(5), _xlfn.SEQUENCE(1,5)-1), 0),        BG17="Noise",  _xlfn.MAP($C18:$G22 + (_xlfn.RANDARRAY(ROWS($C18:$G22), COLUMNS($C18:$G22)) - 0.5) * 0.4, _xlfn.LAMBDA(_xlpm.x, MAX(0, MIN(1, _xlpm.x)))))</f>
        <v>0.61985860966187845</v>
      </c>
      <c r="BH18" s="5">
        <f ca="1"/>
        <v>1</v>
      </c>
      <c r="BI18" s="5">
        <f ca="1"/>
        <v>1</v>
      </c>
      <c r="BJ18" s="5">
        <f ca="1"/>
        <v>1</v>
      </c>
      <c r="BK18" s="6">
        <f ca="1"/>
        <v>0.29482848402023243</v>
      </c>
      <c r="BL18" s="3"/>
      <c r="BM18" s="3"/>
      <c r="BN18" s="4" cm="1">
        <f t="array" aca="1" ref="BN18:BR22" ca="1">_xlfn.IFS(BN17="None",  $C18:$G22*0,           BN17="Horizontal Flip", INDEX($C18:$G22, _xlfn.SEQUENCE(5), 6 - _xlfn.SEQUENCE(1,5)),        BN17="Vertical Flip", INDEX($C18:$G22, 6 - _xlfn.SEQUENCE(5), _xlfn.SEQUENCE(1,5)),      BN17="180 Rotation", INDEX($C18:$G22, 6 - _xlfn.SEQUENCE(5), 6 - _xlfn.SEQUENCE(1,5)),        BN17="90 CW", INDEX($C18:$G22, 6 - _xlfn.SEQUENCE(1,5), _xlfn.SEQUENCE(5)),          BN17="90 CCW", INDEX($C18:$G22, _xlfn.SEQUENCE(1,5), 6 - _xlfn.SEQUENCE(5)),         BN17="Shift Up", IF(_xlfn.SEQUENCE(5)+1&lt;=5, INDEX($C18:$G22, _xlfn.SEQUENCE(5)+1, _xlfn.SEQUENCE(1,5)), 0),         BN17="Shift Down", IF(_xlfn.SEQUENCE(5)-1&gt;=1, INDEX($C18:$G22, _xlfn.SEQUENCE(5)-1, _xlfn.SEQUENCE(1,5)), 0),         BN17="Shift Left",   IF(_xlfn.SEQUENCE(1,5)+1&lt;=5, INDEX($C18:$G22, _xlfn.SEQUENCE(5), _xlfn.SEQUENCE(1,5)+1),0),         BN17= "Shift Right",  IF(_xlfn.SEQUENCE(1,5)-1&gt;=1, INDEX($C18:$G22, _xlfn.SEQUENCE(5), _xlfn.SEQUENCE(1,5)-1), 0),        BN17="Noise",  _xlfn.MAP($C18:$G22 + (_xlfn.RANDARRAY(ROWS($C18:$G22), COLUMNS($C18:$G22)) - 0.5) * 0.4, _xlfn.LAMBDA(_xlpm.x, MAX(0, MIN(1, _xlpm.x)))))</f>
        <v>0.23264271679063597</v>
      </c>
      <c r="BO18" s="5">
        <f ca="1"/>
        <v>1</v>
      </c>
      <c r="BP18" s="5">
        <f ca="1"/>
        <v>1</v>
      </c>
      <c r="BQ18" s="5">
        <f ca="1"/>
        <v>1</v>
      </c>
      <c r="BR18" s="6">
        <f ca="1"/>
        <v>0.28348784389975801</v>
      </c>
      <c r="BS18" s="3"/>
      <c r="BU18" s="4" cm="1">
        <f t="array" aca="1" ref="BU18:BY22" ca="1">_xlfn.IFS(BU17="None",  $C18:$G22*0,           BU17="Horizontal Flip", INDEX($C18:$G22, _xlfn.SEQUENCE(5), 6 - _xlfn.SEQUENCE(1,5)),        BU17="Vertical Flip", INDEX($C18:$G22, 6 - _xlfn.SEQUENCE(5), _xlfn.SEQUENCE(1,5)),      BU17="180 Rotation", INDEX($C18:$G22, 6 - _xlfn.SEQUENCE(5), 6 - _xlfn.SEQUENCE(1,5)),        BU17="90 CW", INDEX($C18:$G22, 6 - _xlfn.SEQUENCE(1,5), _xlfn.SEQUENCE(5)),          BU17="90 CCW", INDEX($C18:$G22, _xlfn.SEQUENCE(1,5), 6 - _xlfn.SEQUENCE(5)),         BU17="Shift Up", IF(_xlfn.SEQUENCE(5)+1&lt;=5, INDEX($C18:$G22, _xlfn.SEQUENCE(5)+1, _xlfn.SEQUENCE(1,5)), 0),         BU17="Shift Down", IF(_xlfn.SEQUENCE(5)-1&gt;=1, INDEX($C18:$G22, _xlfn.SEQUENCE(5)-1, _xlfn.SEQUENCE(1,5)), 0),         BU17="Shift Left",   IF(_xlfn.SEQUENCE(1,5)+1&lt;=5, INDEX($C18:$G22, _xlfn.SEQUENCE(5), _xlfn.SEQUENCE(1,5)+1),0),         BU17= "Shift Right",  IF(_xlfn.SEQUENCE(1,5)-1&gt;=1, INDEX($C18:$G22, _xlfn.SEQUENCE(5), _xlfn.SEQUENCE(1,5)-1), 0),        BU17="Noise",  _xlfn.MAP($C18:$G22 + (_xlfn.RANDARRAY(ROWS($C18:$G22), COLUMNS($C18:$G22)) - 0.5) * 0.4, _xlfn.LAMBDA(_xlpm.x, MAX(0, MIN(1, _xlpm.x)))))</f>
        <v>0.61985860966187845</v>
      </c>
      <c r="BV18" s="5">
        <f ca="1"/>
        <v>0.19748848334411673</v>
      </c>
      <c r="BW18" s="5">
        <f ca="1"/>
        <v>0.16467719504838585</v>
      </c>
      <c r="BX18" s="5">
        <f ca="1"/>
        <v>0.46624031863022442</v>
      </c>
      <c r="BY18" s="6">
        <f ca="1"/>
        <v>0.28348784389975801</v>
      </c>
      <c r="CA18" s="8"/>
      <c r="CB18" s="3"/>
      <c r="CC18" s="3"/>
      <c r="CD18" s="3"/>
      <c r="CH18" s="12" t="s">
        <v>18</v>
      </c>
    </row>
    <row r="19" spans="1:86" s="1" customFormat="1" ht="18" customHeight="1" x14ac:dyDescent="0.2">
      <c r="A19" s="7"/>
      <c r="B19" s="202"/>
      <c r="C19" s="7">
        <v>0.46624031863022442</v>
      </c>
      <c r="D19" s="3">
        <v>0.62000165310500521</v>
      </c>
      <c r="E19" s="3">
        <v>0.34934611756953626</v>
      </c>
      <c r="F19" s="3">
        <v>1</v>
      </c>
      <c r="G19" s="8">
        <v>0.55681087725048883</v>
      </c>
      <c r="H19" s="3"/>
      <c r="I19" s="3"/>
      <c r="J19" s="7">
        <f ca="1"/>
        <v>0.62000165310500521</v>
      </c>
      <c r="K19" s="3">
        <f ca="1"/>
        <v>0.34934611756953626</v>
      </c>
      <c r="L19" s="3">
        <f ca="1"/>
        <v>1</v>
      </c>
      <c r="M19" s="3">
        <f ca="1"/>
        <v>0.55681087725048883</v>
      </c>
      <c r="N19" s="8">
        <f ca="1"/>
        <v>0</v>
      </c>
      <c r="O19" s="3"/>
      <c r="P19" s="3"/>
      <c r="Q19" s="7">
        <f ca="1"/>
        <v>0.28237007384441676</v>
      </c>
      <c r="R19" s="3">
        <f ca="1"/>
        <v>0.66263947813458524</v>
      </c>
      <c r="S19" s="3">
        <f ca="1"/>
        <v>0.31914602955122934</v>
      </c>
      <c r="T19" s="3">
        <f ca="1"/>
        <v>1</v>
      </c>
      <c r="U19" s="8">
        <f ca="1"/>
        <v>0.41629130199050191</v>
      </c>
      <c r="V19" s="3"/>
      <c r="W19" s="3"/>
      <c r="X19" s="7">
        <f ca="1"/>
        <v>0.16467719504838585</v>
      </c>
      <c r="Y19" s="3">
        <f ca="1"/>
        <v>1</v>
      </c>
      <c r="Z19" s="3">
        <f ca="1"/>
        <v>1</v>
      </c>
      <c r="AA19" s="3">
        <f ca="1"/>
        <v>1</v>
      </c>
      <c r="AB19" s="8">
        <f ca="1"/>
        <v>0.31557816623100499</v>
      </c>
      <c r="AC19" s="3"/>
      <c r="AD19" s="3"/>
      <c r="AE19" s="7">
        <f ca="1"/>
        <v>0</v>
      </c>
      <c r="AF19" s="3">
        <f ca="1"/>
        <v>0.46624031863022442</v>
      </c>
      <c r="AG19" s="3">
        <f ca="1"/>
        <v>0.62000165310500521</v>
      </c>
      <c r="AH19" s="3">
        <f ca="1"/>
        <v>0.34934611756953626</v>
      </c>
      <c r="AI19" s="8">
        <f ca="1"/>
        <v>1</v>
      </c>
      <c r="AJ19" s="3"/>
      <c r="AK19" s="3"/>
      <c r="AL19" s="7">
        <f ca="1"/>
        <v>0.28348784389975801</v>
      </c>
      <c r="AM19" s="3">
        <f ca="1"/>
        <v>1</v>
      </c>
      <c r="AN19" s="3">
        <f ca="1"/>
        <v>1</v>
      </c>
      <c r="AO19" s="3">
        <f ca="1"/>
        <v>1</v>
      </c>
      <c r="AP19" s="8">
        <f ca="1"/>
        <v>0.23264271679063597</v>
      </c>
      <c r="AQ19" s="3"/>
      <c r="AR19" s="3"/>
      <c r="AS19" s="7">
        <f ca="1"/>
        <v>0.23950234677576021</v>
      </c>
      <c r="AT19" s="3">
        <f ca="1"/>
        <v>0.1980109765859448</v>
      </c>
      <c r="AU19" s="3">
        <f ca="1"/>
        <v>0.28987371467087697</v>
      </c>
      <c r="AV19" s="3">
        <f ca="1"/>
        <v>1</v>
      </c>
      <c r="AW19" s="8">
        <f ca="1"/>
        <v>0.19748848334411673</v>
      </c>
      <c r="AX19" s="3"/>
      <c r="AY19" s="3"/>
      <c r="AZ19" s="7">
        <f ca="1"/>
        <v>1</v>
      </c>
      <c r="BA19" s="3">
        <f ca="1"/>
        <v>1</v>
      </c>
      <c r="BB19" s="3">
        <f ca="1"/>
        <v>1</v>
      </c>
      <c r="BC19" s="3">
        <f ca="1"/>
        <v>0.1980109765859448</v>
      </c>
      <c r="BD19" s="8">
        <f ca="1"/>
        <v>1</v>
      </c>
      <c r="BE19" s="3"/>
      <c r="BG19" s="7">
        <f ca="1"/>
        <v>0.19748848334411673</v>
      </c>
      <c r="BH19" s="3">
        <f ca="1"/>
        <v>1</v>
      </c>
      <c r="BI19" s="3">
        <f ca="1"/>
        <v>0.28987371467087697</v>
      </c>
      <c r="BJ19" s="3">
        <f ca="1"/>
        <v>0.1980109765859448</v>
      </c>
      <c r="BK19" s="8">
        <f ca="1"/>
        <v>0.23950234677576021</v>
      </c>
      <c r="BL19" s="3"/>
      <c r="BM19" s="3"/>
      <c r="BN19" s="7">
        <f ca="1"/>
        <v>0.55681087725048883</v>
      </c>
      <c r="BO19" s="3">
        <f ca="1"/>
        <v>1</v>
      </c>
      <c r="BP19" s="3">
        <f ca="1"/>
        <v>0.34934611756953626</v>
      </c>
      <c r="BQ19" s="3">
        <f ca="1"/>
        <v>0.62000165310500521</v>
      </c>
      <c r="BR19" s="8">
        <f ca="1"/>
        <v>0.46624031863022442</v>
      </c>
      <c r="BS19" s="3"/>
      <c r="BU19" s="7">
        <f ca="1"/>
        <v>1</v>
      </c>
      <c r="BV19" s="3">
        <f ca="1"/>
        <v>1</v>
      </c>
      <c r="BW19" s="3">
        <f ca="1"/>
        <v>1</v>
      </c>
      <c r="BX19" s="3">
        <f ca="1"/>
        <v>0.62000165310500521</v>
      </c>
      <c r="BY19" s="8">
        <f ca="1"/>
        <v>1</v>
      </c>
      <c r="CA19" s="8"/>
      <c r="CB19" s="3"/>
      <c r="CC19" s="3"/>
      <c r="CD19" s="3"/>
    </row>
    <row r="20" spans="1:86" s="1" customFormat="1" ht="18" customHeight="1" x14ac:dyDescent="0.2">
      <c r="A20" s="7"/>
      <c r="B20" s="202"/>
      <c r="C20" s="7">
        <v>0.16467719504838585</v>
      </c>
      <c r="D20" s="3">
        <v>1</v>
      </c>
      <c r="E20" s="3">
        <v>1</v>
      </c>
      <c r="F20" s="3">
        <v>1</v>
      </c>
      <c r="G20" s="8">
        <v>0.31557816623100499</v>
      </c>
      <c r="H20" s="3"/>
      <c r="I20" s="3"/>
      <c r="J20" s="7">
        <f ca="1"/>
        <v>1</v>
      </c>
      <c r="K20" s="3">
        <f ca="1"/>
        <v>1</v>
      </c>
      <c r="L20" s="3">
        <f ca="1"/>
        <v>1</v>
      </c>
      <c r="M20" s="3">
        <f ca="1"/>
        <v>0.31557816623100499</v>
      </c>
      <c r="N20" s="8">
        <f ca="1"/>
        <v>0</v>
      </c>
      <c r="O20" s="3"/>
      <c r="P20" s="3"/>
      <c r="Q20" s="7">
        <f ca="1"/>
        <v>0.23925780728907201</v>
      </c>
      <c r="R20" s="3">
        <f ca="1"/>
        <v>1</v>
      </c>
      <c r="S20" s="3">
        <f ca="1"/>
        <v>0.92053922773563701</v>
      </c>
      <c r="T20" s="3">
        <f ca="1"/>
        <v>1</v>
      </c>
      <c r="U20" s="8">
        <f ca="1"/>
        <v>0.4382103732738733</v>
      </c>
      <c r="V20" s="3"/>
      <c r="W20" s="3"/>
      <c r="X20" s="7">
        <f ca="1"/>
        <v>0.19748848334411673</v>
      </c>
      <c r="Y20" s="3">
        <f ca="1"/>
        <v>1</v>
      </c>
      <c r="Z20" s="3">
        <f ca="1"/>
        <v>0.28987371467087697</v>
      </c>
      <c r="AA20" s="3">
        <f ca="1"/>
        <v>0.1980109765859448</v>
      </c>
      <c r="AB20" s="8">
        <f ca="1"/>
        <v>0.23950234677576021</v>
      </c>
      <c r="AC20" s="3"/>
      <c r="AD20" s="3"/>
      <c r="AE20" s="7">
        <f ca="1"/>
        <v>0</v>
      </c>
      <c r="AF20" s="3">
        <f ca="1"/>
        <v>0.16467719504838585</v>
      </c>
      <c r="AG20" s="3">
        <f ca="1"/>
        <v>1</v>
      </c>
      <c r="AH20" s="3">
        <f ca="1"/>
        <v>1</v>
      </c>
      <c r="AI20" s="8">
        <f ca="1"/>
        <v>1</v>
      </c>
      <c r="AJ20" s="3"/>
      <c r="AK20" s="3"/>
      <c r="AL20" s="7">
        <f ca="1"/>
        <v>0.46624031863022442</v>
      </c>
      <c r="AM20" s="3">
        <f ca="1"/>
        <v>0.62000165310500521</v>
      </c>
      <c r="AN20" s="3">
        <f ca="1"/>
        <v>0.34934611756953626</v>
      </c>
      <c r="AO20" s="3">
        <f ca="1"/>
        <v>1</v>
      </c>
      <c r="AP20" s="8">
        <f ca="1"/>
        <v>0.55681087725048883</v>
      </c>
      <c r="AQ20" s="3"/>
      <c r="AR20" s="3"/>
      <c r="AS20" s="7">
        <f ca="1"/>
        <v>0.31557816623100499</v>
      </c>
      <c r="AT20" s="3">
        <f ca="1"/>
        <v>1</v>
      </c>
      <c r="AU20" s="3">
        <f ca="1"/>
        <v>1</v>
      </c>
      <c r="AV20" s="3">
        <f ca="1"/>
        <v>1</v>
      </c>
      <c r="AW20" s="8">
        <f ca="1"/>
        <v>0.16467719504838585</v>
      </c>
      <c r="AX20" s="3"/>
      <c r="AY20" s="3"/>
      <c r="AZ20" s="7">
        <f ca="1"/>
        <v>1</v>
      </c>
      <c r="BA20" s="3">
        <f ca="1"/>
        <v>0.34934611756953626</v>
      </c>
      <c r="BB20" s="3">
        <f ca="1"/>
        <v>1</v>
      </c>
      <c r="BC20" s="3">
        <f ca="1"/>
        <v>0.28987371467087697</v>
      </c>
      <c r="BD20" s="8">
        <f ca="1"/>
        <v>1</v>
      </c>
      <c r="BE20" s="3"/>
      <c r="BG20" s="7">
        <f ca="1"/>
        <v>0.16467719504838585</v>
      </c>
      <c r="BH20" s="3">
        <f ca="1"/>
        <v>1</v>
      </c>
      <c r="BI20" s="3">
        <f ca="1"/>
        <v>1</v>
      </c>
      <c r="BJ20" s="3">
        <f ca="1"/>
        <v>1</v>
      </c>
      <c r="BK20" s="8">
        <f ca="1"/>
        <v>0.31557816623100499</v>
      </c>
      <c r="BL20" s="3"/>
      <c r="BM20" s="3"/>
      <c r="BN20" s="7">
        <f ca="1"/>
        <v>0.31557816623100499</v>
      </c>
      <c r="BO20" s="3">
        <f ca="1"/>
        <v>1</v>
      </c>
      <c r="BP20" s="3">
        <f ca="1"/>
        <v>1</v>
      </c>
      <c r="BQ20" s="3">
        <f ca="1"/>
        <v>1</v>
      </c>
      <c r="BR20" s="8">
        <f ca="1"/>
        <v>0.16467719504838585</v>
      </c>
      <c r="BS20" s="3"/>
      <c r="BU20" s="7">
        <f ca="1"/>
        <v>1</v>
      </c>
      <c r="BV20" s="3">
        <f ca="1"/>
        <v>0.28987371467087697</v>
      </c>
      <c r="BW20" s="3">
        <f ca="1"/>
        <v>1</v>
      </c>
      <c r="BX20" s="3">
        <f ca="1"/>
        <v>0.34934611756953626</v>
      </c>
      <c r="BY20" s="8">
        <f ca="1"/>
        <v>1</v>
      </c>
      <c r="CA20" s="8"/>
      <c r="CB20" s="3"/>
      <c r="CC20" s="3"/>
      <c r="CD20" s="3"/>
    </row>
    <row r="21" spans="1:86" s="1" customFormat="1" ht="18" customHeight="1" x14ac:dyDescent="0.2">
      <c r="A21" s="7"/>
      <c r="B21" s="202"/>
      <c r="C21" s="7">
        <v>0.19748848334411673</v>
      </c>
      <c r="D21" s="3">
        <v>1</v>
      </c>
      <c r="E21" s="3">
        <v>0.28987371467087697</v>
      </c>
      <c r="F21" s="3">
        <v>0.1980109765859448</v>
      </c>
      <c r="G21" s="8">
        <v>0.23950234677576021</v>
      </c>
      <c r="H21" s="3"/>
      <c r="I21" s="3"/>
      <c r="J21" s="7">
        <f ca="1"/>
        <v>1</v>
      </c>
      <c r="K21" s="3">
        <f ca="1"/>
        <v>0.28987371467087697</v>
      </c>
      <c r="L21" s="3">
        <f ca="1"/>
        <v>0.1980109765859448</v>
      </c>
      <c r="M21" s="3">
        <f ca="1"/>
        <v>0.23950234677576021</v>
      </c>
      <c r="N21" s="8">
        <f ca="1"/>
        <v>0</v>
      </c>
      <c r="O21" s="3"/>
      <c r="P21" s="3"/>
      <c r="Q21" s="7">
        <f ca="1"/>
        <v>1.7601875913316273E-2</v>
      </c>
      <c r="R21" s="3">
        <f ca="1"/>
        <v>1</v>
      </c>
      <c r="S21" s="3">
        <f ca="1"/>
        <v>0.35618398077252078</v>
      </c>
      <c r="T21" s="3">
        <f ca="1"/>
        <v>4.8254904364369661E-2</v>
      </c>
      <c r="U21" s="8">
        <f ca="1"/>
        <v>0.42069743757628297</v>
      </c>
      <c r="V21" s="3"/>
      <c r="W21" s="3"/>
      <c r="X21" s="7">
        <f ca="1"/>
        <v>0.61985860966187845</v>
      </c>
      <c r="Y21" s="3">
        <f ca="1"/>
        <v>1</v>
      </c>
      <c r="Z21" s="3">
        <f ca="1"/>
        <v>1</v>
      </c>
      <c r="AA21" s="3">
        <f ca="1"/>
        <v>1</v>
      </c>
      <c r="AB21" s="8">
        <f ca="1"/>
        <v>0.29482848402023243</v>
      </c>
      <c r="AC21" s="3"/>
      <c r="AD21" s="3"/>
      <c r="AE21" s="7">
        <f ca="1"/>
        <v>0</v>
      </c>
      <c r="AF21" s="3">
        <f ca="1"/>
        <v>0.19748848334411673</v>
      </c>
      <c r="AG21" s="3">
        <f ca="1"/>
        <v>1</v>
      </c>
      <c r="AH21" s="3">
        <f ca="1"/>
        <v>0.28987371467087697</v>
      </c>
      <c r="AI21" s="8">
        <f ca="1"/>
        <v>0.1980109765859448</v>
      </c>
      <c r="AJ21" s="3"/>
      <c r="AK21" s="3"/>
      <c r="AL21" s="7">
        <f ca="1"/>
        <v>0.16467719504838585</v>
      </c>
      <c r="AM21" s="3">
        <f ca="1"/>
        <v>1</v>
      </c>
      <c r="AN21" s="3">
        <f ca="1"/>
        <v>1</v>
      </c>
      <c r="AO21" s="3">
        <f ca="1"/>
        <v>1</v>
      </c>
      <c r="AP21" s="8">
        <f ca="1"/>
        <v>0.31557816623100499</v>
      </c>
      <c r="AQ21" s="3"/>
      <c r="AR21" s="3"/>
      <c r="AS21" s="7">
        <f ca="1"/>
        <v>0.55681087725048883</v>
      </c>
      <c r="AT21" s="3">
        <f ca="1"/>
        <v>1</v>
      </c>
      <c r="AU21" s="3">
        <f ca="1"/>
        <v>0.34934611756953626</v>
      </c>
      <c r="AV21" s="3">
        <f ca="1"/>
        <v>0.62000165310500521</v>
      </c>
      <c r="AW21" s="8">
        <f ca="1"/>
        <v>0.46624031863022442</v>
      </c>
      <c r="AX21" s="3"/>
      <c r="AY21" s="3"/>
      <c r="AZ21" s="7">
        <f ca="1"/>
        <v>1</v>
      </c>
      <c r="BA21" s="3">
        <f ca="1"/>
        <v>0.62000165310500521</v>
      </c>
      <c r="BB21" s="3">
        <f ca="1"/>
        <v>1</v>
      </c>
      <c r="BC21" s="3">
        <f ca="1"/>
        <v>1</v>
      </c>
      <c r="BD21" s="8">
        <f ca="1"/>
        <v>1</v>
      </c>
      <c r="BE21" s="3"/>
      <c r="BG21" s="7">
        <f ca="1"/>
        <v>0.46624031863022442</v>
      </c>
      <c r="BH21" s="3">
        <f ca="1"/>
        <v>0.62000165310500521</v>
      </c>
      <c r="BI21" s="3">
        <f ca="1"/>
        <v>0.34934611756953626</v>
      </c>
      <c r="BJ21" s="3">
        <f ca="1"/>
        <v>1</v>
      </c>
      <c r="BK21" s="8">
        <f ca="1"/>
        <v>0.55681087725048883</v>
      </c>
      <c r="BL21" s="3"/>
      <c r="BM21" s="3"/>
      <c r="BN21" s="7">
        <f ca="1"/>
        <v>0.23950234677576021</v>
      </c>
      <c r="BO21" s="3">
        <f ca="1"/>
        <v>0.1980109765859448</v>
      </c>
      <c r="BP21" s="3">
        <f ca="1"/>
        <v>0.28987371467087697</v>
      </c>
      <c r="BQ21" s="3">
        <f ca="1"/>
        <v>1</v>
      </c>
      <c r="BR21" s="8">
        <f ca="1"/>
        <v>0.19748848334411673</v>
      </c>
      <c r="BS21" s="3"/>
      <c r="BU21" s="7">
        <f ca="1"/>
        <v>1</v>
      </c>
      <c r="BV21" s="3">
        <f ca="1"/>
        <v>0.1980109765859448</v>
      </c>
      <c r="BW21" s="3">
        <f ca="1"/>
        <v>1</v>
      </c>
      <c r="BX21" s="3">
        <f ca="1"/>
        <v>1</v>
      </c>
      <c r="BY21" s="8">
        <f ca="1"/>
        <v>1</v>
      </c>
      <c r="CA21" s="8"/>
      <c r="CB21" s="3"/>
      <c r="CC21" s="3"/>
      <c r="CD21" s="3"/>
    </row>
    <row r="22" spans="1:86" s="1" customFormat="1" ht="18" customHeight="1" thickBot="1" x14ac:dyDescent="0.25">
      <c r="A22" s="7"/>
      <c r="B22" s="202"/>
      <c r="C22" s="9">
        <v>0.61985860966187845</v>
      </c>
      <c r="D22" s="10">
        <v>1</v>
      </c>
      <c r="E22" s="10">
        <v>1</v>
      </c>
      <c r="F22" s="10">
        <v>1</v>
      </c>
      <c r="G22" s="11">
        <v>0.29482848402023243</v>
      </c>
      <c r="H22" s="3"/>
      <c r="I22" s="3"/>
      <c r="J22" s="9">
        <f ca="1"/>
        <v>1</v>
      </c>
      <c r="K22" s="10">
        <f ca="1"/>
        <v>1</v>
      </c>
      <c r="L22" s="10">
        <f ca="1"/>
        <v>1</v>
      </c>
      <c r="M22" s="10">
        <f ca="1"/>
        <v>0.29482848402023243</v>
      </c>
      <c r="N22" s="11">
        <f ca="1"/>
        <v>0</v>
      </c>
      <c r="O22" s="3"/>
      <c r="P22" s="3"/>
      <c r="Q22" s="9">
        <f ca="1"/>
        <v>0.76391906749978411</v>
      </c>
      <c r="R22" s="10">
        <f ca="1"/>
        <v>1</v>
      </c>
      <c r="S22" s="10">
        <f ca="1"/>
        <v>0.98453200906812111</v>
      </c>
      <c r="T22" s="10">
        <f ca="1"/>
        <v>1</v>
      </c>
      <c r="U22" s="11">
        <f ca="1"/>
        <v>0.25767595137960897</v>
      </c>
      <c r="V22" s="3"/>
      <c r="W22" s="3"/>
      <c r="X22" s="9">
        <f ca="1"/>
        <v>0</v>
      </c>
      <c r="Y22" s="10">
        <f ca="1"/>
        <v>0</v>
      </c>
      <c r="Z22" s="10">
        <f ca="1"/>
        <v>0</v>
      </c>
      <c r="AA22" s="10">
        <f ca="1"/>
        <v>0</v>
      </c>
      <c r="AB22" s="11">
        <f ca="1"/>
        <v>0</v>
      </c>
      <c r="AC22" s="3"/>
      <c r="AD22" s="3"/>
      <c r="AE22" s="9">
        <f ca="1"/>
        <v>0</v>
      </c>
      <c r="AF22" s="10">
        <f ca="1"/>
        <v>0.61985860966187845</v>
      </c>
      <c r="AG22" s="10">
        <f ca="1"/>
        <v>1</v>
      </c>
      <c r="AH22" s="10">
        <f ca="1"/>
        <v>1</v>
      </c>
      <c r="AI22" s="11">
        <f ca="1"/>
        <v>1</v>
      </c>
      <c r="AJ22" s="3"/>
      <c r="AK22" s="3"/>
      <c r="AL22" s="9">
        <f ca="1"/>
        <v>0.19748848334411673</v>
      </c>
      <c r="AM22" s="10">
        <f ca="1"/>
        <v>1</v>
      </c>
      <c r="AN22" s="10">
        <f ca="1"/>
        <v>0.28987371467087697</v>
      </c>
      <c r="AO22" s="10">
        <f ca="1"/>
        <v>0.1980109765859448</v>
      </c>
      <c r="AP22" s="11">
        <f ca="1"/>
        <v>0.23950234677576021</v>
      </c>
      <c r="AQ22" s="3"/>
      <c r="AR22" s="3"/>
      <c r="AS22" s="9">
        <f ca="1"/>
        <v>0.23264271679063597</v>
      </c>
      <c r="AT22" s="10">
        <f ca="1"/>
        <v>1</v>
      </c>
      <c r="AU22" s="10">
        <f ca="1"/>
        <v>1</v>
      </c>
      <c r="AV22" s="10">
        <f ca="1"/>
        <v>1</v>
      </c>
      <c r="AW22" s="11">
        <f ca="1"/>
        <v>0.28348784389975801</v>
      </c>
      <c r="AX22" s="3"/>
      <c r="AY22" s="3"/>
      <c r="AZ22" s="9">
        <f ca="1"/>
        <v>0.28348784389975801</v>
      </c>
      <c r="BA22" s="10">
        <f ca="1"/>
        <v>0.46624031863022442</v>
      </c>
      <c r="BB22" s="10">
        <f ca="1"/>
        <v>0.16467719504838585</v>
      </c>
      <c r="BC22" s="10">
        <f ca="1"/>
        <v>0.19748848334411673</v>
      </c>
      <c r="BD22" s="11">
        <f ca="1"/>
        <v>0.61985860966187845</v>
      </c>
      <c r="BE22" s="3"/>
      <c r="BG22" s="9">
        <f ca="1"/>
        <v>0.28348784389975801</v>
      </c>
      <c r="BH22" s="10">
        <f ca="1"/>
        <v>1</v>
      </c>
      <c r="BI22" s="10">
        <f ca="1"/>
        <v>1</v>
      </c>
      <c r="BJ22" s="10">
        <f ca="1"/>
        <v>1</v>
      </c>
      <c r="BK22" s="11">
        <f ca="1"/>
        <v>0.23264271679063597</v>
      </c>
      <c r="BL22" s="3"/>
      <c r="BM22" s="3"/>
      <c r="BN22" s="9">
        <f ca="1"/>
        <v>0.29482848402023243</v>
      </c>
      <c r="BO22" s="10">
        <f ca="1"/>
        <v>1</v>
      </c>
      <c r="BP22" s="10">
        <f ca="1"/>
        <v>1</v>
      </c>
      <c r="BQ22" s="10">
        <f ca="1"/>
        <v>1</v>
      </c>
      <c r="BR22" s="11">
        <f ca="1"/>
        <v>0.61985860966187845</v>
      </c>
      <c r="BS22" s="3"/>
      <c r="BU22" s="9">
        <f ca="1"/>
        <v>0.29482848402023243</v>
      </c>
      <c r="BV22" s="10">
        <f ca="1"/>
        <v>0.23950234677576021</v>
      </c>
      <c r="BW22" s="10">
        <f ca="1"/>
        <v>0.31557816623100499</v>
      </c>
      <c r="BX22" s="10">
        <f ca="1"/>
        <v>0.55681087725048883</v>
      </c>
      <c r="BY22" s="11">
        <f ca="1"/>
        <v>0.23264271679063597</v>
      </c>
      <c r="CA22" s="8"/>
      <c r="CB22" s="3"/>
      <c r="CC22" s="3"/>
      <c r="CD22" s="3"/>
    </row>
    <row r="23" spans="1:86" s="1" customFormat="1" ht="18" customHeight="1" x14ac:dyDescent="0.2">
      <c r="A23" s="7"/>
      <c r="B23" s="2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U23" s="3"/>
      <c r="BV23" s="3"/>
      <c r="BW23" s="3"/>
      <c r="BX23" s="3"/>
      <c r="BY23" s="3"/>
      <c r="CA23" s="29"/>
    </row>
    <row r="24" spans="1:86" s="1" customFormat="1" ht="18" customHeight="1" thickBot="1" x14ac:dyDescent="0.25">
      <c r="A24" s="7"/>
      <c r="B24" s="202">
        <v>3</v>
      </c>
      <c r="C24" s="200" t="s">
        <v>9</v>
      </c>
      <c r="D24" s="200"/>
      <c r="E24" s="200"/>
      <c r="F24" s="200"/>
      <c r="G24" s="200"/>
      <c r="H24" s="28"/>
      <c r="I24" s="3"/>
      <c r="J24" s="200" t="str" cm="1">
        <f t="array" aca="1" ref="J24" ca="1">INDEX(Helper!$E$13:$E$22, OFFSET(Helper!$J$13,$B24,J$2))</f>
        <v>Shift Up</v>
      </c>
      <c r="K24" s="200"/>
      <c r="L24" s="200"/>
      <c r="M24" s="200"/>
      <c r="N24" s="200"/>
      <c r="O24" s="3"/>
      <c r="P24" s="3"/>
      <c r="Q24" s="200" t="str" cm="1">
        <f t="array" aca="1" ref="Q24" ca="1">INDEX(Helper!$E$13:$E$22, OFFSET(Helper!$J$13,$B24,Q$2))</f>
        <v>Vertical Flip</v>
      </c>
      <c r="R24" s="200"/>
      <c r="S24" s="200"/>
      <c r="T24" s="200"/>
      <c r="U24" s="200"/>
      <c r="V24" s="3"/>
      <c r="W24" s="3"/>
      <c r="X24" s="200" t="str" cm="1">
        <f t="array" aca="1" ref="X24" ca="1">INDEX(Helper!$E$13:$E$22, OFFSET(Helper!$J$13,$B24,X$2))</f>
        <v>180 Rotation</v>
      </c>
      <c r="Y24" s="200"/>
      <c r="Z24" s="200"/>
      <c r="AA24" s="200"/>
      <c r="AB24" s="200"/>
      <c r="AC24" s="3"/>
      <c r="AD24" s="3"/>
      <c r="AE24" s="200" t="str" cm="1">
        <f t="array" aca="1" ref="AE24" ca="1">INDEX(Helper!$E$13:$E$22, OFFSET(Helper!$J$13,$B24,AE$2))</f>
        <v>Horizontal Flip</v>
      </c>
      <c r="AF24" s="200"/>
      <c r="AG24" s="200"/>
      <c r="AH24" s="200"/>
      <c r="AI24" s="200"/>
      <c r="AJ24" s="3"/>
      <c r="AK24" s="3"/>
      <c r="AL24" s="200" t="str" cm="1">
        <f t="array" aca="1" ref="AL24" ca="1">INDEX(Helper!$E$13:$E$22, OFFSET(Helper!$J$13,$B24,AL$2))</f>
        <v>90 CCW</v>
      </c>
      <c r="AM24" s="200"/>
      <c r="AN24" s="200"/>
      <c r="AO24" s="200"/>
      <c r="AP24" s="200"/>
      <c r="AQ24" s="3"/>
      <c r="AR24" s="3"/>
      <c r="AS24" s="200" t="str" cm="1">
        <f t="array" aca="1" ref="AS24" ca="1">INDEX(Helper!$E$13:$E$22, OFFSET(Helper!$J$13,$B24,AS$2))</f>
        <v>Shift Down</v>
      </c>
      <c r="AT24" s="200"/>
      <c r="AU24" s="200"/>
      <c r="AV24" s="200"/>
      <c r="AW24" s="200"/>
      <c r="AX24" s="3"/>
      <c r="AY24" s="3"/>
      <c r="AZ24" s="200" t="str" cm="1">
        <f t="array" aca="1" ref="AZ24" ca="1">INDEX(Helper!$E$13:$E$22, OFFSET(Helper!$J$13,$B24,AZ$2))</f>
        <v>Shift Right</v>
      </c>
      <c r="BA24" s="200"/>
      <c r="BB24" s="200"/>
      <c r="BC24" s="200"/>
      <c r="BD24" s="200"/>
      <c r="BE24" s="3"/>
      <c r="BG24" s="200" t="str" cm="1">
        <f t="array" aca="1" ref="BG24" ca="1">INDEX(Helper!$E$13:$E$22, OFFSET(Helper!$J$13,$B24,BG$2))</f>
        <v>Shift Left</v>
      </c>
      <c r="BH24" s="200"/>
      <c r="BI24" s="200"/>
      <c r="BJ24" s="200"/>
      <c r="BK24" s="200"/>
      <c r="BL24" s="3"/>
      <c r="BM24" s="3"/>
      <c r="BN24" s="200" t="str" cm="1">
        <f t="array" aca="1" ref="BN24" ca="1">INDEX(Helper!$E$13:$E$22, OFFSET(Helper!$J$13,$B24,BN$2))</f>
        <v>Noise</v>
      </c>
      <c r="BO24" s="200"/>
      <c r="BP24" s="200"/>
      <c r="BQ24" s="200"/>
      <c r="BR24" s="200"/>
      <c r="BS24" s="3"/>
      <c r="BU24" s="200" t="str" cm="1">
        <f t="array" aca="1" ref="BU24" ca="1">INDEX(Helper!$E$13:$E$22, OFFSET(Helper!$J$13,$B24,BU$2))</f>
        <v>90 CW</v>
      </c>
      <c r="BV24" s="200"/>
      <c r="BW24" s="200"/>
      <c r="BX24" s="200"/>
      <c r="BY24" s="200"/>
      <c r="CA24" s="29"/>
    </row>
    <row r="25" spans="1:86" s="1" customFormat="1" ht="18" customHeight="1" x14ac:dyDescent="0.2">
      <c r="A25" s="7"/>
      <c r="B25" s="202"/>
      <c r="C25" s="4">
        <v>0.45498378577616527</v>
      </c>
      <c r="D25" s="5">
        <v>1</v>
      </c>
      <c r="E25" s="5">
        <v>1</v>
      </c>
      <c r="F25" s="5">
        <v>1</v>
      </c>
      <c r="G25" s="6">
        <v>0.22913279859693936</v>
      </c>
      <c r="H25" s="3"/>
      <c r="I25" s="3"/>
      <c r="J25" s="4" cm="1">
        <f t="array" aca="1" ref="J25:N29" ca="1">_xlfn.IFS(J24="None",  $C25:$G29*0,           J24="Horizontal Flip", INDEX($C25:$G29, _xlfn.SEQUENCE(5), 6 - _xlfn.SEQUENCE(1,5)),        J24="Vertical Flip", INDEX($C25:$G29, 6 - _xlfn.SEQUENCE(5), _xlfn.SEQUENCE(1,5)),      J24="180 Rotation", INDEX($C25:$G29, 6 - _xlfn.SEQUENCE(5), 6 - _xlfn.SEQUENCE(1,5)),        J24="90 CW", INDEX($C25:$G29, 6 - _xlfn.SEQUENCE(1,5), _xlfn.SEQUENCE(5)),          J24="90 CCW", INDEX($C25:$G29, _xlfn.SEQUENCE(1,5), 6 - _xlfn.SEQUENCE(5)),         J24="Shift Up", IF(_xlfn.SEQUENCE(5)+1&lt;=5, INDEX($C25:$G29, _xlfn.SEQUENCE(5)+1, _xlfn.SEQUENCE(1,5)), 0),         J24="Shift Down", IF(_xlfn.SEQUENCE(5)-1&gt;=1, INDEX($C25:$G29, _xlfn.SEQUENCE(5)-1, _xlfn.SEQUENCE(1,5)), 0),         J24="Shift Left",   IF(_xlfn.SEQUENCE(1,5)+1&lt;=5, INDEX($C25:$G29, _xlfn.SEQUENCE(5), _xlfn.SEQUENCE(1,5)+1),0),         J24= "Shift Right",  IF(_xlfn.SEQUENCE(1,5)-1&gt;=1, INDEX($C25:$G29, _xlfn.SEQUENCE(5), _xlfn.SEQUENCE(1,5)-1), 0),        J24="Noise",  _xlfn.MAP($C25:$G29 + (_xlfn.RANDARRAY(ROWS($C25:$G29), COLUMNS($C25:$G29)) - 0.5) * 0.4, _xlfn.LAMBDA(_xlpm.x, MAX(0, MIN(1, _xlpm.x)))))</f>
        <v>0.57699790023526143</v>
      </c>
      <c r="K25" s="5">
        <f ca="1"/>
        <v>0.38322233391048466</v>
      </c>
      <c r="L25" s="5">
        <f ca="1"/>
        <v>0.15720975629523659</v>
      </c>
      <c r="M25" s="5">
        <f ca="1"/>
        <v>1</v>
      </c>
      <c r="N25" s="6">
        <f ca="1"/>
        <v>0.30909224377573419</v>
      </c>
      <c r="O25" s="3"/>
      <c r="P25" s="3"/>
      <c r="Q25" s="4" cm="1">
        <f t="array" aca="1" ref="Q25:U29" ca="1">_xlfn.IFS(Q24="None",  $C25:$G29*0,           Q24="Horizontal Flip", INDEX($C25:$G29, _xlfn.SEQUENCE(5), 6 - _xlfn.SEQUENCE(1,5)),        Q24="Vertical Flip", INDEX($C25:$G29, 6 - _xlfn.SEQUENCE(5), _xlfn.SEQUENCE(1,5)),      Q24="180 Rotation", INDEX($C25:$G29, 6 - _xlfn.SEQUENCE(5), 6 - _xlfn.SEQUENCE(1,5)),        Q24="90 CW", INDEX($C25:$G29, 6 - _xlfn.SEQUENCE(1,5), _xlfn.SEQUENCE(5)),          Q24="90 CCW", INDEX($C25:$G29, _xlfn.SEQUENCE(1,5), 6 - _xlfn.SEQUENCE(5)),         Q24="Shift Up", IF(_xlfn.SEQUENCE(5)+1&lt;=5, INDEX($C25:$G29, _xlfn.SEQUENCE(5)+1, _xlfn.SEQUENCE(1,5)), 0),         Q24="Shift Down", IF(_xlfn.SEQUENCE(5)-1&gt;=1, INDEX($C25:$G29, _xlfn.SEQUENCE(5)-1, _xlfn.SEQUENCE(1,5)), 0),         Q24="Shift Left",   IF(_xlfn.SEQUENCE(1,5)+1&lt;=5, INDEX($C25:$G29, _xlfn.SEQUENCE(5), _xlfn.SEQUENCE(1,5)+1),0),         Q24= "Shift Right",  IF(_xlfn.SEQUENCE(1,5)-1&gt;=1, INDEX($C25:$G29, _xlfn.SEQUENCE(5), _xlfn.SEQUENCE(1,5)-1), 0),        Q24="Noise",  _xlfn.MAP($C25:$G29 + (_xlfn.RANDARRAY(ROWS($C25:$G29), COLUMNS($C25:$G29)) - 0.5) * 0.4, _xlfn.LAMBDA(_xlpm.x, MAX(0, MIN(1, _xlpm.x)))))</f>
        <v>0.47361588991659986</v>
      </c>
      <c r="R25" s="5">
        <f ca="1"/>
        <v>1</v>
      </c>
      <c r="S25" s="5">
        <f ca="1"/>
        <v>1</v>
      </c>
      <c r="T25" s="5">
        <f ca="1"/>
        <v>1</v>
      </c>
      <c r="U25" s="6">
        <f ca="1"/>
        <v>0.31808907793569308</v>
      </c>
      <c r="V25" s="3"/>
      <c r="W25" s="3"/>
      <c r="X25" s="4" cm="1">
        <f t="array" aca="1" ref="X25:AB29" ca="1">_xlfn.IFS(X24="None",  $C25:$G29*0,           X24="Horizontal Flip", INDEX($C25:$G29, _xlfn.SEQUENCE(5), 6 - _xlfn.SEQUENCE(1,5)),        X24="Vertical Flip", INDEX($C25:$G29, 6 - _xlfn.SEQUENCE(5), _xlfn.SEQUENCE(1,5)),      X24="180 Rotation", INDEX($C25:$G29, 6 - _xlfn.SEQUENCE(5), 6 - _xlfn.SEQUENCE(1,5)),        X24="90 CW", INDEX($C25:$G29, 6 - _xlfn.SEQUENCE(1,5), _xlfn.SEQUENCE(5)),          X24="90 CCW", INDEX($C25:$G29, _xlfn.SEQUENCE(1,5), 6 - _xlfn.SEQUENCE(5)),         X24="Shift Up", IF(_xlfn.SEQUENCE(5)+1&lt;=5, INDEX($C25:$G29, _xlfn.SEQUENCE(5)+1, _xlfn.SEQUENCE(1,5)), 0),         X24="Shift Down", IF(_xlfn.SEQUENCE(5)-1&gt;=1, INDEX($C25:$G29, _xlfn.SEQUENCE(5)-1, _xlfn.SEQUENCE(1,5)), 0),         X24="Shift Left",   IF(_xlfn.SEQUENCE(1,5)+1&lt;=5, INDEX($C25:$G29, _xlfn.SEQUENCE(5), _xlfn.SEQUENCE(1,5)+1),0),         X24= "Shift Right",  IF(_xlfn.SEQUENCE(1,5)-1&gt;=1, INDEX($C25:$G29, _xlfn.SEQUENCE(5), _xlfn.SEQUENCE(1,5)-1), 0),        X24="Noise",  _xlfn.MAP($C25:$G29 + (_xlfn.RANDARRAY(ROWS($C25:$G29), COLUMNS($C25:$G29)) - 0.5) * 0.4, _xlfn.LAMBDA(_xlpm.x, MAX(0, MIN(1, _xlpm.x)))))</f>
        <v>0.31808907793569308</v>
      </c>
      <c r="Y25" s="5">
        <f ca="1"/>
        <v>1</v>
      </c>
      <c r="Z25" s="5">
        <f ca="1"/>
        <v>1</v>
      </c>
      <c r="AA25" s="5">
        <f ca="1"/>
        <v>1</v>
      </c>
      <c r="AB25" s="6">
        <f ca="1"/>
        <v>0.47361588991659986</v>
      </c>
      <c r="AC25" s="3"/>
      <c r="AD25" s="3"/>
      <c r="AE25" s="4" cm="1">
        <f t="array" aca="1" ref="AE25:AI29" ca="1">_xlfn.IFS(AE24="None",  $C25:$G29*0,           AE24="Horizontal Flip", INDEX($C25:$G29, _xlfn.SEQUENCE(5), 6 - _xlfn.SEQUENCE(1,5)),        AE24="Vertical Flip", INDEX($C25:$G29, 6 - _xlfn.SEQUENCE(5), _xlfn.SEQUENCE(1,5)),      AE24="180 Rotation", INDEX($C25:$G29, 6 - _xlfn.SEQUENCE(5), 6 - _xlfn.SEQUENCE(1,5)),        AE24="90 CW", INDEX($C25:$G29, 6 - _xlfn.SEQUENCE(1,5), _xlfn.SEQUENCE(5)),          AE24="90 CCW", INDEX($C25:$G29, _xlfn.SEQUENCE(1,5), 6 - _xlfn.SEQUENCE(5)),         AE24="Shift Up", IF(_xlfn.SEQUENCE(5)+1&lt;=5, INDEX($C25:$G29, _xlfn.SEQUENCE(5)+1, _xlfn.SEQUENCE(1,5)), 0),         AE24="Shift Down", IF(_xlfn.SEQUENCE(5)-1&gt;=1, INDEX($C25:$G29, _xlfn.SEQUENCE(5)-1, _xlfn.SEQUENCE(1,5)), 0),         AE24="Shift Left",   IF(_xlfn.SEQUENCE(1,5)+1&lt;=5, INDEX($C25:$G29, _xlfn.SEQUENCE(5), _xlfn.SEQUENCE(1,5)+1),0),         AE24= "Shift Right",  IF(_xlfn.SEQUENCE(1,5)-1&gt;=1, INDEX($C25:$G29, _xlfn.SEQUENCE(5), _xlfn.SEQUENCE(1,5)-1), 0),        AE24="Noise",  _xlfn.MAP($C25:$G29 + (_xlfn.RANDARRAY(ROWS($C25:$G29), COLUMNS($C25:$G29)) - 0.5) * 0.4, _xlfn.LAMBDA(_xlpm.x, MAX(0, MIN(1, _xlpm.x)))))</f>
        <v>0.22913279859693936</v>
      </c>
      <c r="AF25" s="5">
        <f ca="1"/>
        <v>1</v>
      </c>
      <c r="AG25" s="5">
        <f ca="1"/>
        <v>1</v>
      </c>
      <c r="AH25" s="5">
        <f ca="1"/>
        <v>1</v>
      </c>
      <c r="AI25" s="6">
        <f ca="1"/>
        <v>0.45498378577616527</v>
      </c>
      <c r="AJ25" s="3"/>
      <c r="AK25" s="3"/>
      <c r="AL25" s="4" cm="1">
        <f t="array" aca="1" ref="AL25:AP29" ca="1">_xlfn.IFS(AL24="None",  $C25:$G29*0,           AL24="Horizontal Flip", INDEX($C25:$G29, _xlfn.SEQUENCE(5), 6 - _xlfn.SEQUENCE(1,5)),        AL24="Vertical Flip", INDEX($C25:$G29, 6 - _xlfn.SEQUENCE(5), _xlfn.SEQUENCE(1,5)),      AL24="180 Rotation", INDEX($C25:$G29, 6 - _xlfn.SEQUENCE(5), 6 - _xlfn.SEQUENCE(1,5)),        AL24="90 CW", INDEX($C25:$G29, 6 - _xlfn.SEQUENCE(1,5), _xlfn.SEQUENCE(5)),          AL24="90 CCW", INDEX($C25:$G29, _xlfn.SEQUENCE(1,5), 6 - _xlfn.SEQUENCE(5)),         AL24="Shift Up", IF(_xlfn.SEQUENCE(5)+1&lt;=5, INDEX($C25:$G29, _xlfn.SEQUENCE(5)+1, _xlfn.SEQUENCE(1,5)), 0),         AL24="Shift Down", IF(_xlfn.SEQUENCE(5)-1&gt;=1, INDEX($C25:$G29, _xlfn.SEQUENCE(5)-1, _xlfn.SEQUENCE(1,5)), 0),         AL24="Shift Left",   IF(_xlfn.SEQUENCE(1,5)+1&lt;=5, INDEX($C25:$G29, _xlfn.SEQUENCE(5), _xlfn.SEQUENCE(1,5)+1),0),         AL24= "Shift Right",  IF(_xlfn.SEQUENCE(1,5)-1&gt;=1, INDEX($C25:$G29, _xlfn.SEQUENCE(5), _xlfn.SEQUENCE(1,5)-1), 0),        AL24="Noise",  _xlfn.MAP($C25:$G29 + (_xlfn.RANDARRAY(ROWS($C25:$G29), COLUMNS($C25:$G29)) - 0.5) * 0.4, _xlfn.LAMBDA(_xlpm.x, MAX(0, MIN(1, _xlpm.x)))))</f>
        <v>0.22913279859693936</v>
      </c>
      <c r="AM25" s="5">
        <f ca="1"/>
        <v>0.30909224377573419</v>
      </c>
      <c r="AN25" s="5">
        <f ca="1"/>
        <v>0.45743298552496059</v>
      </c>
      <c r="AO25" s="5">
        <f ca="1"/>
        <v>0.57160393603370196</v>
      </c>
      <c r="AP25" s="6">
        <f ca="1"/>
        <v>0.31808907793569308</v>
      </c>
      <c r="AQ25" s="3"/>
      <c r="AR25" s="3"/>
      <c r="AS25" s="4" cm="1">
        <f t="array" aca="1" ref="AS25:AW29" ca="1">_xlfn.IFS(AS24="None",  $C25:$G29*0,           AS24="Horizontal Flip", INDEX($C25:$G29, _xlfn.SEQUENCE(5), 6 - _xlfn.SEQUENCE(1,5)),        AS24="Vertical Flip", INDEX($C25:$G29, 6 - _xlfn.SEQUENCE(5), _xlfn.SEQUENCE(1,5)),      AS24="180 Rotation", INDEX($C25:$G29, 6 - _xlfn.SEQUENCE(5), 6 - _xlfn.SEQUENCE(1,5)),        AS24="90 CW", INDEX($C25:$G29, 6 - _xlfn.SEQUENCE(1,5), _xlfn.SEQUENCE(5)),          AS24="90 CCW", INDEX($C25:$G29, _xlfn.SEQUENCE(1,5), 6 - _xlfn.SEQUENCE(5)),         AS24="Shift Up", IF(_xlfn.SEQUENCE(5)+1&lt;=5, INDEX($C25:$G29, _xlfn.SEQUENCE(5)+1, _xlfn.SEQUENCE(1,5)), 0),         AS24="Shift Down", IF(_xlfn.SEQUENCE(5)-1&gt;=1, INDEX($C25:$G29, _xlfn.SEQUENCE(5)-1, _xlfn.SEQUENCE(1,5)), 0),         AS24="Shift Left",   IF(_xlfn.SEQUENCE(1,5)+1&lt;=5, INDEX($C25:$G29, _xlfn.SEQUENCE(5), _xlfn.SEQUENCE(1,5)+1),0),         AS24= "Shift Right",  IF(_xlfn.SEQUENCE(1,5)-1&gt;=1, INDEX($C25:$G29, _xlfn.SEQUENCE(5), _xlfn.SEQUENCE(1,5)-1), 0),        AS24="Noise",  _xlfn.MAP($C25:$G29 + (_xlfn.RANDARRAY(ROWS($C25:$G29), COLUMNS($C25:$G29)) - 0.5) * 0.4, _xlfn.LAMBDA(_xlpm.x, MAX(0, MIN(1, _xlpm.x)))))</f>
        <v>0</v>
      </c>
      <c r="AT25" s="5">
        <f ca="1"/>
        <v>0</v>
      </c>
      <c r="AU25" s="5">
        <f ca="1"/>
        <v>0</v>
      </c>
      <c r="AV25" s="5">
        <f ca="1"/>
        <v>0</v>
      </c>
      <c r="AW25" s="6">
        <f ca="1"/>
        <v>0</v>
      </c>
      <c r="AX25" s="3"/>
      <c r="AY25" s="3"/>
      <c r="AZ25" s="4" cm="1">
        <f t="array" aca="1" ref="AZ25:BD29" ca="1">_xlfn.IFS(AZ24="None",  $C25:$G29*0,           AZ24="Horizontal Flip", INDEX($C25:$G29, _xlfn.SEQUENCE(5), 6 - _xlfn.SEQUENCE(1,5)),        AZ24="Vertical Flip", INDEX($C25:$G29, 6 - _xlfn.SEQUENCE(5), _xlfn.SEQUENCE(1,5)),      AZ24="180 Rotation", INDEX($C25:$G29, 6 - _xlfn.SEQUENCE(5), 6 - _xlfn.SEQUENCE(1,5)),        AZ24="90 CW", INDEX($C25:$G29, 6 - _xlfn.SEQUENCE(1,5), _xlfn.SEQUENCE(5)),          AZ24="90 CCW", INDEX($C25:$G29, _xlfn.SEQUENCE(1,5), 6 - _xlfn.SEQUENCE(5)),         AZ24="Shift Up", IF(_xlfn.SEQUENCE(5)+1&lt;=5, INDEX($C25:$G29, _xlfn.SEQUENCE(5)+1, _xlfn.SEQUENCE(1,5)), 0),         AZ24="Shift Down", IF(_xlfn.SEQUENCE(5)-1&gt;=1, INDEX($C25:$G29, _xlfn.SEQUENCE(5)-1, _xlfn.SEQUENCE(1,5)), 0),         AZ24="Shift Left",   IF(_xlfn.SEQUENCE(1,5)+1&lt;=5, INDEX($C25:$G29, _xlfn.SEQUENCE(5), _xlfn.SEQUENCE(1,5)+1),0),         AZ24= "Shift Right",  IF(_xlfn.SEQUENCE(1,5)-1&gt;=1, INDEX($C25:$G29, _xlfn.SEQUENCE(5), _xlfn.SEQUENCE(1,5)-1), 0),        AZ24="Noise",  _xlfn.MAP($C25:$G29 + (_xlfn.RANDARRAY(ROWS($C25:$G29), COLUMNS($C25:$G29)) - 0.5) * 0.4, _xlfn.LAMBDA(_xlpm.x, MAX(0, MIN(1, _xlpm.x)))))</f>
        <v>0</v>
      </c>
      <c r="BA25" s="5">
        <f ca="1"/>
        <v>0.45498378577616527</v>
      </c>
      <c r="BB25" s="5">
        <f ca="1"/>
        <v>1</v>
      </c>
      <c r="BC25" s="5">
        <f ca="1"/>
        <v>1</v>
      </c>
      <c r="BD25" s="6">
        <f ca="1"/>
        <v>1</v>
      </c>
      <c r="BE25" s="3"/>
      <c r="BG25" s="4" cm="1">
        <f t="array" aca="1" ref="BG25:BK29" ca="1">_xlfn.IFS(BG24="None",  $C25:$G29*0,           BG24="Horizontal Flip", INDEX($C25:$G29, _xlfn.SEQUENCE(5), 6 - _xlfn.SEQUENCE(1,5)),        BG24="Vertical Flip", INDEX($C25:$G29, 6 - _xlfn.SEQUENCE(5), _xlfn.SEQUENCE(1,5)),      BG24="180 Rotation", INDEX($C25:$G29, 6 - _xlfn.SEQUENCE(5), 6 - _xlfn.SEQUENCE(1,5)),        BG24="90 CW", INDEX($C25:$G29, 6 - _xlfn.SEQUENCE(1,5), _xlfn.SEQUENCE(5)),          BG24="90 CCW", INDEX($C25:$G29, _xlfn.SEQUENCE(1,5), 6 - _xlfn.SEQUENCE(5)),         BG24="Shift Up", IF(_xlfn.SEQUENCE(5)+1&lt;=5, INDEX($C25:$G29, _xlfn.SEQUENCE(5)+1, _xlfn.SEQUENCE(1,5)), 0),         BG24="Shift Down", IF(_xlfn.SEQUENCE(5)-1&gt;=1, INDEX($C25:$G29, _xlfn.SEQUENCE(5)-1, _xlfn.SEQUENCE(1,5)), 0),         BG24="Shift Left",   IF(_xlfn.SEQUENCE(1,5)+1&lt;=5, INDEX($C25:$G29, _xlfn.SEQUENCE(5), _xlfn.SEQUENCE(1,5)+1),0),         BG24= "Shift Right",  IF(_xlfn.SEQUENCE(1,5)-1&gt;=1, INDEX($C25:$G29, _xlfn.SEQUENCE(5), _xlfn.SEQUENCE(1,5)-1), 0),        BG24="Noise",  _xlfn.MAP($C25:$G29 + (_xlfn.RANDARRAY(ROWS($C25:$G29), COLUMNS($C25:$G29)) - 0.5) * 0.4, _xlfn.LAMBDA(_xlpm.x, MAX(0, MIN(1, _xlpm.x)))))</f>
        <v>1</v>
      </c>
      <c r="BH25" s="5">
        <f ca="1"/>
        <v>1</v>
      </c>
      <c r="BI25" s="5">
        <f ca="1"/>
        <v>1</v>
      </c>
      <c r="BJ25" s="5">
        <f ca="1"/>
        <v>0.22913279859693936</v>
      </c>
      <c r="BK25" s="6">
        <f ca="1"/>
        <v>0</v>
      </c>
      <c r="BL25" s="3"/>
      <c r="BM25" s="3"/>
      <c r="BN25" s="4" cm="1">
        <f t="array" aca="1" ref="BN25:BR29" ca="1">_xlfn.IFS(BN24="None",  $C25:$G29*0,           BN24="Horizontal Flip", INDEX($C25:$G29, _xlfn.SEQUENCE(5), 6 - _xlfn.SEQUENCE(1,5)),        BN24="Vertical Flip", INDEX($C25:$G29, 6 - _xlfn.SEQUENCE(5), _xlfn.SEQUENCE(1,5)),      BN24="180 Rotation", INDEX($C25:$G29, 6 - _xlfn.SEQUENCE(5), 6 - _xlfn.SEQUENCE(1,5)),        BN24="90 CW", INDEX($C25:$G29, 6 - _xlfn.SEQUENCE(1,5), _xlfn.SEQUENCE(5)),          BN24="90 CCW", INDEX($C25:$G29, _xlfn.SEQUENCE(1,5), 6 - _xlfn.SEQUENCE(5)),         BN24="Shift Up", IF(_xlfn.SEQUENCE(5)+1&lt;=5, INDEX($C25:$G29, _xlfn.SEQUENCE(5)+1, _xlfn.SEQUENCE(1,5)), 0),         BN24="Shift Down", IF(_xlfn.SEQUENCE(5)-1&gt;=1, INDEX($C25:$G29, _xlfn.SEQUENCE(5)-1, _xlfn.SEQUENCE(1,5)), 0),         BN24="Shift Left",   IF(_xlfn.SEQUENCE(1,5)+1&lt;=5, INDEX($C25:$G29, _xlfn.SEQUENCE(5), _xlfn.SEQUENCE(1,5)+1),0),         BN24= "Shift Right",  IF(_xlfn.SEQUENCE(1,5)-1&gt;=1, INDEX($C25:$G29, _xlfn.SEQUENCE(5), _xlfn.SEQUENCE(1,5)-1), 0),        BN24="Noise",  _xlfn.MAP($C25:$G29 + (_xlfn.RANDARRAY(ROWS($C25:$G29), COLUMNS($C25:$G29)) - 0.5) * 0.4, _xlfn.LAMBDA(_xlpm.x, MAX(0, MIN(1, _xlpm.x)))))</f>
        <v>0.60020016212589411</v>
      </c>
      <c r="BO25" s="5">
        <f ca="1"/>
        <v>1</v>
      </c>
      <c r="BP25" s="5">
        <f ca="1"/>
        <v>1</v>
      </c>
      <c r="BQ25" s="5">
        <f ca="1"/>
        <v>0.96567586121195104</v>
      </c>
      <c r="BR25" s="6">
        <f ca="1"/>
        <v>0.355270496449752</v>
      </c>
      <c r="BS25" s="3"/>
      <c r="BU25" s="4" cm="1">
        <f t="array" aca="1" ref="BU25:BY29" ca="1">_xlfn.IFS(BU24="None",  $C25:$G29*0,           BU24="Horizontal Flip", INDEX($C25:$G29, _xlfn.SEQUENCE(5), 6 - _xlfn.SEQUENCE(1,5)),        BU24="Vertical Flip", INDEX($C25:$G29, 6 - _xlfn.SEQUENCE(5), _xlfn.SEQUENCE(1,5)),      BU24="180 Rotation", INDEX($C25:$G29, 6 - _xlfn.SEQUENCE(5), 6 - _xlfn.SEQUENCE(1,5)),        BU24="90 CW", INDEX($C25:$G29, 6 - _xlfn.SEQUENCE(1,5), _xlfn.SEQUENCE(5)),          BU24="90 CCW", INDEX($C25:$G29, _xlfn.SEQUENCE(1,5), 6 - _xlfn.SEQUENCE(5)),         BU24="Shift Up", IF(_xlfn.SEQUENCE(5)+1&lt;=5, INDEX($C25:$G29, _xlfn.SEQUENCE(5)+1, _xlfn.SEQUENCE(1,5)), 0),         BU24="Shift Down", IF(_xlfn.SEQUENCE(5)-1&gt;=1, INDEX($C25:$G29, _xlfn.SEQUENCE(5)-1, _xlfn.SEQUENCE(1,5)), 0),         BU24="Shift Left",   IF(_xlfn.SEQUENCE(1,5)+1&lt;=5, INDEX($C25:$G29, _xlfn.SEQUENCE(5), _xlfn.SEQUENCE(1,5)+1),0),         BU24= "Shift Right",  IF(_xlfn.SEQUENCE(1,5)-1&gt;=1, INDEX($C25:$G29, _xlfn.SEQUENCE(5), _xlfn.SEQUENCE(1,5)-1), 0),        BU24="Noise",  _xlfn.MAP($C25:$G29 + (_xlfn.RANDARRAY(ROWS($C25:$G29), COLUMNS($C25:$G29)) - 0.5) * 0.4, _xlfn.LAMBDA(_xlpm.x, MAX(0, MIN(1, _xlpm.x)))))</f>
        <v>0.47361588991659986</v>
      </c>
      <c r="BV25" s="5">
        <f ca="1"/>
        <v>0.24288143673775597</v>
      </c>
      <c r="BW25" s="5">
        <f ca="1"/>
        <v>0.41181979389349366</v>
      </c>
      <c r="BX25" s="5">
        <f ca="1"/>
        <v>0.57699790023526143</v>
      </c>
      <c r="BY25" s="6">
        <f ca="1"/>
        <v>0.45498378577616527</v>
      </c>
      <c r="CA25" s="29"/>
    </row>
    <row r="26" spans="1:86" s="1" customFormat="1" ht="18" customHeight="1" x14ac:dyDescent="0.2">
      <c r="A26" s="7"/>
      <c r="B26" s="202"/>
      <c r="C26" s="7">
        <v>0.57699790023526143</v>
      </c>
      <c r="D26" s="3">
        <v>0.38322233391048466</v>
      </c>
      <c r="E26" s="3">
        <v>0.15720975629523659</v>
      </c>
      <c r="F26" s="3">
        <v>1</v>
      </c>
      <c r="G26" s="8">
        <v>0.30909224377573419</v>
      </c>
      <c r="H26" s="3"/>
      <c r="I26" s="3"/>
      <c r="J26" s="7">
        <f ca="1"/>
        <v>0.41181979389349366</v>
      </c>
      <c r="K26" s="3">
        <f ca="1"/>
        <v>1</v>
      </c>
      <c r="L26" s="3">
        <f ca="1"/>
        <v>1</v>
      </c>
      <c r="M26" s="3">
        <f ca="1"/>
        <v>1</v>
      </c>
      <c r="N26" s="8">
        <f ca="1"/>
        <v>0.45743298552496059</v>
      </c>
      <c r="O26" s="3"/>
      <c r="P26" s="3"/>
      <c r="Q26" s="7">
        <f ca="1"/>
        <v>0.24288143673775597</v>
      </c>
      <c r="R26" s="3">
        <f ca="1"/>
        <v>0.43554735985079762</v>
      </c>
      <c r="S26" s="3">
        <f ca="1"/>
        <v>0.17145440958570068</v>
      </c>
      <c r="T26" s="3">
        <f ca="1"/>
        <v>1</v>
      </c>
      <c r="U26" s="8">
        <f ca="1"/>
        <v>0.57160393603370196</v>
      </c>
      <c r="V26" s="3"/>
      <c r="W26" s="3"/>
      <c r="X26" s="7">
        <f ca="1"/>
        <v>0.57160393603370196</v>
      </c>
      <c r="Y26" s="3">
        <f ca="1"/>
        <v>1</v>
      </c>
      <c r="Z26" s="3">
        <f ca="1"/>
        <v>0.17145440958570068</v>
      </c>
      <c r="AA26" s="3">
        <f ca="1"/>
        <v>0.43554735985079762</v>
      </c>
      <c r="AB26" s="8">
        <f ca="1"/>
        <v>0.24288143673775597</v>
      </c>
      <c r="AC26" s="3"/>
      <c r="AD26" s="3"/>
      <c r="AE26" s="7">
        <f ca="1"/>
        <v>0.30909224377573419</v>
      </c>
      <c r="AF26" s="3">
        <f ca="1"/>
        <v>1</v>
      </c>
      <c r="AG26" s="3">
        <f ca="1"/>
        <v>0.15720975629523659</v>
      </c>
      <c r="AH26" s="3">
        <f ca="1"/>
        <v>0.38322233391048466</v>
      </c>
      <c r="AI26" s="8">
        <f ca="1"/>
        <v>0.57699790023526143</v>
      </c>
      <c r="AJ26" s="3"/>
      <c r="AK26" s="3"/>
      <c r="AL26" s="7">
        <f ca="1"/>
        <v>1</v>
      </c>
      <c r="AM26" s="3">
        <f ca="1"/>
        <v>1</v>
      </c>
      <c r="AN26" s="3">
        <f ca="1"/>
        <v>1</v>
      </c>
      <c r="AO26" s="3">
        <f ca="1"/>
        <v>1</v>
      </c>
      <c r="AP26" s="8">
        <f ca="1"/>
        <v>1</v>
      </c>
      <c r="AQ26" s="3"/>
      <c r="AR26" s="3"/>
      <c r="AS26" s="7">
        <f ca="1"/>
        <v>0.45498378577616527</v>
      </c>
      <c r="AT26" s="3">
        <f ca="1"/>
        <v>1</v>
      </c>
      <c r="AU26" s="3">
        <f ca="1"/>
        <v>1</v>
      </c>
      <c r="AV26" s="3">
        <f ca="1"/>
        <v>1</v>
      </c>
      <c r="AW26" s="8">
        <f ca="1"/>
        <v>0.22913279859693936</v>
      </c>
      <c r="AX26" s="3"/>
      <c r="AY26" s="3"/>
      <c r="AZ26" s="7">
        <f ca="1"/>
        <v>0</v>
      </c>
      <c r="BA26" s="3">
        <f ca="1"/>
        <v>0.57699790023526143</v>
      </c>
      <c r="BB26" s="3">
        <f ca="1"/>
        <v>0.38322233391048466</v>
      </c>
      <c r="BC26" s="3">
        <f ca="1"/>
        <v>0.15720975629523659</v>
      </c>
      <c r="BD26" s="8">
        <f ca="1"/>
        <v>1</v>
      </c>
      <c r="BE26" s="3"/>
      <c r="BG26" s="7">
        <f ca="1"/>
        <v>0.38322233391048466</v>
      </c>
      <c r="BH26" s="3">
        <f ca="1"/>
        <v>0.15720975629523659</v>
      </c>
      <c r="BI26" s="3">
        <f ca="1"/>
        <v>1</v>
      </c>
      <c r="BJ26" s="3">
        <f ca="1"/>
        <v>0.30909224377573419</v>
      </c>
      <c r="BK26" s="8">
        <f ca="1"/>
        <v>0</v>
      </c>
      <c r="BL26" s="3"/>
      <c r="BM26" s="3"/>
      <c r="BN26" s="7">
        <f ca="1"/>
        <v>0.6130820962328255</v>
      </c>
      <c r="BO26" s="3">
        <f ca="1"/>
        <v>0.40936297712073372</v>
      </c>
      <c r="BP26" s="3">
        <f ca="1"/>
        <v>0.26341438465474926</v>
      </c>
      <c r="BQ26" s="3">
        <f ca="1"/>
        <v>0.86958991600000357</v>
      </c>
      <c r="BR26" s="8">
        <f ca="1"/>
        <v>0.34579785724826295</v>
      </c>
      <c r="BS26" s="3"/>
      <c r="BU26" s="7">
        <f ca="1"/>
        <v>1</v>
      </c>
      <c r="BV26" s="3">
        <f ca="1"/>
        <v>0.43554735985079762</v>
      </c>
      <c r="BW26" s="3">
        <f ca="1"/>
        <v>1</v>
      </c>
      <c r="BX26" s="3">
        <f ca="1"/>
        <v>0.38322233391048466</v>
      </c>
      <c r="BY26" s="8">
        <f ca="1"/>
        <v>1</v>
      </c>
      <c r="CA26" s="29"/>
    </row>
    <row r="27" spans="1:86" s="1" customFormat="1" ht="18" customHeight="1" x14ac:dyDescent="0.2">
      <c r="A27" s="7"/>
      <c r="B27" s="202"/>
      <c r="C27" s="7">
        <v>0.41181979389349366</v>
      </c>
      <c r="D27" s="3">
        <v>1</v>
      </c>
      <c r="E27" s="3">
        <v>1</v>
      </c>
      <c r="F27" s="3">
        <v>1</v>
      </c>
      <c r="G27" s="8">
        <v>0.45743298552496059</v>
      </c>
      <c r="H27" s="3"/>
      <c r="I27" s="3"/>
      <c r="J27" s="7">
        <f ca="1"/>
        <v>0.24288143673775597</v>
      </c>
      <c r="K27" s="3">
        <f ca="1"/>
        <v>0.43554735985079762</v>
      </c>
      <c r="L27" s="3">
        <f ca="1"/>
        <v>0.17145440958570068</v>
      </c>
      <c r="M27" s="3">
        <f ca="1"/>
        <v>1</v>
      </c>
      <c r="N27" s="8">
        <f ca="1"/>
        <v>0.57160393603370196</v>
      </c>
      <c r="O27" s="3"/>
      <c r="P27" s="3"/>
      <c r="Q27" s="7">
        <f ca="1"/>
        <v>0.41181979389349366</v>
      </c>
      <c r="R27" s="3">
        <f ca="1"/>
        <v>1</v>
      </c>
      <c r="S27" s="3">
        <f ca="1"/>
        <v>1</v>
      </c>
      <c r="T27" s="3">
        <f ca="1"/>
        <v>1</v>
      </c>
      <c r="U27" s="8">
        <f ca="1"/>
        <v>0.45743298552496059</v>
      </c>
      <c r="V27" s="3"/>
      <c r="W27" s="3"/>
      <c r="X27" s="7">
        <f ca="1"/>
        <v>0.45743298552496059</v>
      </c>
      <c r="Y27" s="3">
        <f ca="1"/>
        <v>1</v>
      </c>
      <c r="Z27" s="3">
        <f ca="1"/>
        <v>1</v>
      </c>
      <c r="AA27" s="3">
        <f ca="1"/>
        <v>1</v>
      </c>
      <c r="AB27" s="8">
        <f ca="1"/>
        <v>0.41181979389349366</v>
      </c>
      <c r="AC27" s="3"/>
      <c r="AD27" s="3"/>
      <c r="AE27" s="7">
        <f ca="1"/>
        <v>0.45743298552496059</v>
      </c>
      <c r="AF27" s="3">
        <f ca="1"/>
        <v>1</v>
      </c>
      <c r="AG27" s="3">
        <f ca="1"/>
        <v>1</v>
      </c>
      <c r="AH27" s="3">
        <f ca="1"/>
        <v>1</v>
      </c>
      <c r="AI27" s="8">
        <f ca="1"/>
        <v>0.41181979389349366</v>
      </c>
      <c r="AJ27" s="3"/>
      <c r="AK27" s="3"/>
      <c r="AL27" s="7">
        <f ca="1"/>
        <v>1</v>
      </c>
      <c r="AM27" s="3">
        <f ca="1"/>
        <v>0.15720975629523659</v>
      </c>
      <c r="AN27" s="3">
        <f ca="1"/>
        <v>1</v>
      </c>
      <c r="AO27" s="3">
        <f ca="1"/>
        <v>0.17145440958570068</v>
      </c>
      <c r="AP27" s="8">
        <f ca="1"/>
        <v>1</v>
      </c>
      <c r="AQ27" s="3"/>
      <c r="AR27" s="3"/>
      <c r="AS27" s="7">
        <f ca="1"/>
        <v>0.57699790023526143</v>
      </c>
      <c r="AT27" s="3">
        <f ca="1"/>
        <v>0.38322233391048466</v>
      </c>
      <c r="AU27" s="3">
        <f ca="1"/>
        <v>0.15720975629523659</v>
      </c>
      <c r="AV27" s="3">
        <f ca="1"/>
        <v>1</v>
      </c>
      <c r="AW27" s="8">
        <f ca="1"/>
        <v>0.30909224377573419</v>
      </c>
      <c r="AX27" s="3"/>
      <c r="AY27" s="3"/>
      <c r="AZ27" s="7">
        <f ca="1"/>
        <v>0</v>
      </c>
      <c r="BA27" s="3">
        <f ca="1"/>
        <v>0.41181979389349366</v>
      </c>
      <c r="BB27" s="3">
        <f ca="1"/>
        <v>1</v>
      </c>
      <c r="BC27" s="3">
        <f ca="1"/>
        <v>1</v>
      </c>
      <c r="BD27" s="8">
        <f ca="1"/>
        <v>1</v>
      </c>
      <c r="BE27" s="3"/>
      <c r="BG27" s="7">
        <f ca="1"/>
        <v>1</v>
      </c>
      <c r="BH27" s="3">
        <f ca="1"/>
        <v>1</v>
      </c>
      <c r="BI27" s="3">
        <f ca="1"/>
        <v>1</v>
      </c>
      <c r="BJ27" s="3">
        <f ca="1"/>
        <v>0.45743298552496059</v>
      </c>
      <c r="BK27" s="8">
        <f ca="1"/>
        <v>0</v>
      </c>
      <c r="BL27" s="3"/>
      <c r="BM27" s="3"/>
      <c r="BN27" s="7">
        <f ca="1"/>
        <v>0.44831917907074037</v>
      </c>
      <c r="BO27" s="3">
        <f ca="1"/>
        <v>0.99838192187284314</v>
      </c>
      <c r="BP27" s="3">
        <f ca="1"/>
        <v>0.98310787119880538</v>
      </c>
      <c r="BQ27" s="3">
        <f ca="1"/>
        <v>0.97201754436800902</v>
      </c>
      <c r="BR27" s="8">
        <f ca="1"/>
        <v>0.45482164586555474</v>
      </c>
      <c r="BS27" s="3"/>
      <c r="BU27" s="7">
        <f ca="1"/>
        <v>1</v>
      </c>
      <c r="BV27" s="3">
        <f ca="1"/>
        <v>0.17145440958570068</v>
      </c>
      <c r="BW27" s="3">
        <f ca="1"/>
        <v>1</v>
      </c>
      <c r="BX27" s="3">
        <f ca="1"/>
        <v>0.15720975629523659</v>
      </c>
      <c r="BY27" s="8">
        <f ca="1"/>
        <v>1</v>
      </c>
      <c r="CA27" s="29"/>
    </row>
    <row r="28" spans="1:86" s="1" customFormat="1" ht="18" customHeight="1" x14ac:dyDescent="0.2">
      <c r="A28" s="7"/>
      <c r="B28" s="202"/>
      <c r="C28" s="7">
        <v>0.24288143673775597</v>
      </c>
      <c r="D28" s="3">
        <v>0.43554735985079762</v>
      </c>
      <c r="E28" s="3">
        <v>0.17145440958570068</v>
      </c>
      <c r="F28" s="3">
        <v>1</v>
      </c>
      <c r="G28" s="8">
        <v>0.57160393603370196</v>
      </c>
      <c r="H28" s="3"/>
      <c r="I28" s="3"/>
      <c r="J28" s="7">
        <f ca="1"/>
        <v>0.47361588991659986</v>
      </c>
      <c r="K28" s="3">
        <f ca="1"/>
        <v>1</v>
      </c>
      <c r="L28" s="3">
        <f ca="1"/>
        <v>1</v>
      </c>
      <c r="M28" s="3">
        <f ca="1"/>
        <v>1</v>
      </c>
      <c r="N28" s="8">
        <f ca="1"/>
        <v>0.31808907793569308</v>
      </c>
      <c r="O28" s="3"/>
      <c r="P28" s="3"/>
      <c r="Q28" s="7">
        <f ca="1"/>
        <v>0.57699790023526143</v>
      </c>
      <c r="R28" s="3">
        <f ca="1"/>
        <v>0.38322233391048466</v>
      </c>
      <c r="S28" s="3">
        <f ca="1"/>
        <v>0.15720975629523659</v>
      </c>
      <c r="T28" s="3">
        <f ca="1"/>
        <v>1</v>
      </c>
      <c r="U28" s="8">
        <f ca="1"/>
        <v>0.30909224377573419</v>
      </c>
      <c r="V28" s="3"/>
      <c r="W28" s="3"/>
      <c r="X28" s="7">
        <f ca="1"/>
        <v>0.30909224377573419</v>
      </c>
      <c r="Y28" s="3">
        <f ca="1"/>
        <v>1</v>
      </c>
      <c r="Z28" s="3">
        <f ca="1"/>
        <v>0.15720975629523659</v>
      </c>
      <c r="AA28" s="3">
        <f ca="1"/>
        <v>0.38322233391048466</v>
      </c>
      <c r="AB28" s="8">
        <f ca="1"/>
        <v>0.57699790023526143</v>
      </c>
      <c r="AC28" s="3"/>
      <c r="AD28" s="3"/>
      <c r="AE28" s="7">
        <f ca="1"/>
        <v>0.57160393603370196</v>
      </c>
      <c r="AF28" s="3">
        <f ca="1"/>
        <v>1</v>
      </c>
      <c r="AG28" s="3">
        <f ca="1"/>
        <v>0.17145440958570068</v>
      </c>
      <c r="AH28" s="3">
        <f ca="1"/>
        <v>0.43554735985079762</v>
      </c>
      <c r="AI28" s="8">
        <f ca="1"/>
        <v>0.24288143673775597</v>
      </c>
      <c r="AJ28" s="3"/>
      <c r="AK28" s="3"/>
      <c r="AL28" s="7">
        <f ca="1"/>
        <v>1</v>
      </c>
      <c r="AM28" s="3">
        <f ca="1"/>
        <v>0.38322233391048466</v>
      </c>
      <c r="AN28" s="3">
        <f ca="1"/>
        <v>1</v>
      </c>
      <c r="AO28" s="3">
        <f ca="1"/>
        <v>0.43554735985079762</v>
      </c>
      <c r="AP28" s="8">
        <f ca="1"/>
        <v>1</v>
      </c>
      <c r="AQ28" s="3"/>
      <c r="AR28" s="3"/>
      <c r="AS28" s="7">
        <f ca="1"/>
        <v>0.41181979389349366</v>
      </c>
      <c r="AT28" s="3">
        <f ca="1"/>
        <v>1</v>
      </c>
      <c r="AU28" s="3">
        <f ca="1"/>
        <v>1</v>
      </c>
      <c r="AV28" s="3">
        <f ca="1"/>
        <v>1</v>
      </c>
      <c r="AW28" s="8">
        <f ca="1"/>
        <v>0.45743298552496059</v>
      </c>
      <c r="AX28" s="3"/>
      <c r="AY28" s="3"/>
      <c r="AZ28" s="7">
        <f ca="1"/>
        <v>0</v>
      </c>
      <c r="BA28" s="3">
        <f ca="1"/>
        <v>0.24288143673775597</v>
      </c>
      <c r="BB28" s="3">
        <f ca="1"/>
        <v>0.43554735985079762</v>
      </c>
      <c r="BC28" s="3">
        <f ca="1"/>
        <v>0.17145440958570068</v>
      </c>
      <c r="BD28" s="8">
        <f ca="1"/>
        <v>1</v>
      </c>
      <c r="BE28" s="3"/>
      <c r="BG28" s="7">
        <f ca="1"/>
        <v>0.43554735985079762</v>
      </c>
      <c r="BH28" s="3">
        <f ca="1"/>
        <v>0.17145440958570068</v>
      </c>
      <c r="BI28" s="3">
        <f ca="1"/>
        <v>1</v>
      </c>
      <c r="BJ28" s="3">
        <f ca="1"/>
        <v>0.57160393603370196</v>
      </c>
      <c r="BK28" s="8">
        <f ca="1"/>
        <v>0</v>
      </c>
      <c r="BL28" s="3"/>
      <c r="BM28" s="3"/>
      <c r="BN28" s="7">
        <f ca="1"/>
        <v>0.25313923593913279</v>
      </c>
      <c r="BO28" s="3">
        <f ca="1"/>
        <v>0.62073836526653303</v>
      </c>
      <c r="BP28" s="3">
        <f ca="1"/>
        <v>0</v>
      </c>
      <c r="BQ28" s="3">
        <f ca="1"/>
        <v>0.92532282400145627</v>
      </c>
      <c r="BR28" s="8">
        <f ca="1"/>
        <v>0.49089567596785283</v>
      </c>
      <c r="BS28" s="3"/>
      <c r="BU28" s="7">
        <f ca="1"/>
        <v>1</v>
      </c>
      <c r="BV28" s="3">
        <f ca="1"/>
        <v>1</v>
      </c>
      <c r="BW28" s="3">
        <f ca="1"/>
        <v>1</v>
      </c>
      <c r="BX28" s="3">
        <f ca="1"/>
        <v>1</v>
      </c>
      <c r="BY28" s="8">
        <f ca="1"/>
        <v>1</v>
      </c>
      <c r="CA28" s="29"/>
    </row>
    <row r="29" spans="1:86" s="1" customFormat="1" ht="18" customHeight="1" thickBot="1" x14ac:dyDescent="0.25">
      <c r="A29" s="7"/>
      <c r="B29" s="202"/>
      <c r="C29" s="9">
        <v>0.47361588991659986</v>
      </c>
      <c r="D29" s="10">
        <v>1</v>
      </c>
      <c r="E29" s="10">
        <v>1</v>
      </c>
      <c r="F29" s="10">
        <v>1</v>
      </c>
      <c r="G29" s="11">
        <v>0.31808907793569308</v>
      </c>
      <c r="H29" s="3"/>
      <c r="I29" s="3"/>
      <c r="J29" s="9">
        <f ca="1"/>
        <v>0</v>
      </c>
      <c r="K29" s="10">
        <f ca="1"/>
        <v>0</v>
      </c>
      <c r="L29" s="10">
        <f ca="1"/>
        <v>0</v>
      </c>
      <c r="M29" s="10">
        <f ca="1"/>
        <v>0</v>
      </c>
      <c r="N29" s="11">
        <f ca="1"/>
        <v>0</v>
      </c>
      <c r="O29" s="3"/>
      <c r="P29" s="3"/>
      <c r="Q29" s="9">
        <f ca="1"/>
        <v>0.45498378577616527</v>
      </c>
      <c r="R29" s="10">
        <f ca="1"/>
        <v>1</v>
      </c>
      <c r="S29" s="10">
        <f ca="1"/>
        <v>1</v>
      </c>
      <c r="T29" s="10">
        <f ca="1"/>
        <v>1</v>
      </c>
      <c r="U29" s="11">
        <f ca="1"/>
        <v>0.22913279859693936</v>
      </c>
      <c r="V29" s="3"/>
      <c r="W29" s="3"/>
      <c r="X29" s="9">
        <f ca="1"/>
        <v>0.22913279859693936</v>
      </c>
      <c r="Y29" s="10">
        <f ca="1"/>
        <v>1</v>
      </c>
      <c r="Z29" s="10">
        <f ca="1"/>
        <v>1</v>
      </c>
      <c r="AA29" s="10">
        <f ca="1"/>
        <v>1</v>
      </c>
      <c r="AB29" s="11">
        <f ca="1"/>
        <v>0.45498378577616527</v>
      </c>
      <c r="AC29" s="3"/>
      <c r="AD29" s="3"/>
      <c r="AE29" s="9">
        <f ca="1"/>
        <v>0.31808907793569308</v>
      </c>
      <c r="AF29" s="10">
        <f ca="1"/>
        <v>1</v>
      </c>
      <c r="AG29" s="10">
        <f ca="1"/>
        <v>1</v>
      </c>
      <c r="AH29" s="10">
        <f ca="1"/>
        <v>1</v>
      </c>
      <c r="AI29" s="11">
        <f ca="1"/>
        <v>0.47361588991659986</v>
      </c>
      <c r="AJ29" s="3"/>
      <c r="AK29" s="3"/>
      <c r="AL29" s="9">
        <f ca="1"/>
        <v>0.45498378577616527</v>
      </c>
      <c r="AM29" s="10">
        <f ca="1"/>
        <v>0.57699790023526143</v>
      </c>
      <c r="AN29" s="10">
        <f ca="1"/>
        <v>0.41181979389349366</v>
      </c>
      <c r="AO29" s="10">
        <f ca="1"/>
        <v>0.24288143673775597</v>
      </c>
      <c r="AP29" s="11">
        <f ca="1"/>
        <v>0.47361588991659986</v>
      </c>
      <c r="AQ29" s="3"/>
      <c r="AR29" s="3"/>
      <c r="AS29" s="9">
        <f ca="1"/>
        <v>0.24288143673775597</v>
      </c>
      <c r="AT29" s="10">
        <f ca="1"/>
        <v>0.43554735985079762</v>
      </c>
      <c r="AU29" s="10">
        <f ca="1"/>
        <v>0.17145440958570068</v>
      </c>
      <c r="AV29" s="10">
        <f ca="1"/>
        <v>1</v>
      </c>
      <c r="AW29" s="11">
        <f ca="1"/>
        <v>0.57160393603370196</v>
      </c>
      <c r="AX29" s="3"/>
      <c r="AY29" s="3"/>
      <c r="AZ29" s="9">
        <f ca="1"/>
        <v>0</v>
      </c>
      <c r="BA29" s="10">
        <f ca="1"/>
        <v>0.47361588991659986</v>
      </c>
      <c r="BB29" s="10">
        <f ca="1"/>
        <v>1</v>
      </c>
      <c r="BC29" s="10">
        <f ca="1"/>
        <v>1</v>
      </c>
      <c r="BD29" s="11">
        <f ca="1"/>
        <v>1</v>
      </c>
      <c r="BE29" s="3"/>
      <c r="BG29" s="9">
        <f ca="1"/>
        <v>1</v>
      </c>
      <c r="BH29" s="10">
        <f ca="1"/>
        <v>1</v>
      </c>
      <c r="BI29" s="10">
        <f ca="1"/>
        <v>1</v>
      </c>
      <c r="BJ29" s="10">
        <f ca="1"/>
        <v>0.31808907793569308</v>
      </c>
      <c r="BK29" s="11">
        <f ca="1"/>
        <v>0</v>
      </c>
      <c r="BL29" s="3"/>
      <c r="BM29" s="3"/>
      <c r="BN29" s="9">
        <f ca="1"/>
        <v>0.31321335225970426</v>
      </c>
      <c r="BO29" s="10">
        <f ca="1"/>
        <v>0.94335984712868282</v>
      </c>
      <c r="BP29" s="10">
        <f ca="1"/>
        <v>1</v>
      </c>
      <c r="BQ29" s="10">
        <f ca="1"/>
        <v>1</v>
      </c>
      <c r="BR29" s="11">
        <f ca="1"/>
        <v>0.29260824969818894</v>
      </c>
      <c r="BS29" s="3"/>
      <c r="BU29" s="9">
        <f ca="1"/>
        <v>0.31808907793569308</v>
      </c>
      <c r="BV29" s="10">
        <f ca="1"/>
        <v>0.57160393603370196</v>
      </c>
      <c r="BW29" s="10">
        <f ca="1"/>
        <v>0.45743298552496059</v>
      </c>
      <c r="BX29" s="10">
        <f ca="1"/>
        <v>0.30909224377573419</v>
      </c>
      <c r="BY29" s="11">
        <f ca="1"/>
        <v>0.22913279859693936</v>
      </c>
      <c r="CA29" s="29"/>
    </row>
    <row r="30" spans="1:86" s="1" customFormat="1" ht="18" customHeight="1" x14ac:dyDescent="0.2">
      <c r="A30" s="7"/>
      <c r="B30" s="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U30" s="3"/>
      <c r="BV30" s="3"/>
      <c r="BW30" s="3"/>
      <c r="BX30" s="3"/>
      <c r="BY30" s="3"/>
      <c r="CA30" s="29"/>
    </row>
    <row r="31" spans="1:86" s="1" customFormat="1" ht="18" customHeight="1" thickBot="1" x14ac:dyDescent="0.25">
      <c r="A31" s="7"/>
      <c r="B31" s="202">
        <v>4</v>
      </c>
      <c r="C31" s="200" t="s">
        <v>9</v>
      </c>
      <c r="D31" s="200"/>
      <c r="E31" s="200"/>
      <c r="F31" s="200"/>
      <c r="G31" s="200"/>
      <c r="H31" s="28"/>
      <c r="I31" s="3"/>
      <c r="J31" s="200" t="str" cm="1">
        <f t="array" aca="1" ref="J31" ca="1">INDEX(Helper!$E$13:$E$22, OFFSET(Helper!$J$13,$B31,J$2))</f>
        <v>180 Rotation</v>
      </c>
      <c r="K31" s="200"/>
      <c r="L31" s="200"/>
      <c r="M31" s="200"/>
      <c r="N31" s="200"/>
      <c r="O31" s="3"/>
      <c r="P31" s="3"/>
      <c r="Q31" s="200" t="str" cm="1">
        <f t="array" aca="1" ref="Q31" ca="1">INDEX(Helper!$E$13:$E$22, OFFSET(Helper!$J$13,$B31,Q$2))</f>
        <v>Shift Right</v>
      </c>
      <c r="R31" s="200"/>
      <c r="S31" s="200"/>
      <c r="T31" s="200"/>
      <c r="U31" s="200"/>
      <c r="V31" s="3"/>
      <c r="W31" s="3"/>
      <c r="X31" s="200" t="str" cm="1">
        <f t="array" aca="1" ref="X31" ca="1">INDEX(Helper!$E$13:$E$22, OFFSET(Helper!$J$13,$B31,X$2))</f>
        <v>Shift Up</v>
      </c>
      <c r="Y31" s="200"/>
      <c r="Z31" s="200"/>
      <c r="AA31" s="200"/>
      <c r="AB31" s="200"/>
      <c r="AC31" s="3"/>
      <c r="AD31" s="3"/>
      <c r="AE31" s="200" t="str" cm="1">
        <f t="array" aca="1" ref="AE31" ca="1">INDEX(Helper!$E$13:$E$22, OFFSET(Helper!$J$13,$B31,AE$2))</f>
        <v>90 CW</v>
      </c>
      <c r="AF31" s="200"/>
      <c r="AG31" s="200"/>
      <c r="AH31" s="200"/>
      <c r="AI31" s="200"/>
      <c r="AJ31" s="3"/>
      <c r="AK31" s="3"/>
      <c r="AL31" s="200" t="str" cm="1">
        <f t="array" aca="1" ref="AL31" ca="1">INDEX(Helper!$E$13:$E$22, OFFSET(Helper!$J$13,$B31,AL$2))</f>
        <v>Shift Left</v>
      </c>
      <c r="AM31" s="200"/>
      <c r="AN31" s="200"/>
      <c r="AO31" s="200"/>
      <c r="AP31" s="200"/>
      <c r="AQ31" s="3"/>
      <c r="AR31" s="3"/>
      <c r="AS31" s="200" t="str" cm="1">
        <f t="array" aca="1" ref="AS31" ca="1">INDEX(Helper!$E$13:$E$22, OFFSET(Helper!$J$13,$B31,AS$2))</f>
        <v>Vertical Flip</v>
      </c>
      <c r="AT31" s="200"/>
      <c r="AU31" s="200"/>
      <c r="AV31" s="200"/>
      <c r="AW31" s="200"/>
      <c r="AX31" s="3"/>
      <c r="AY31" s="3"/>
      <c r="AZ31" s="200" t="str" cm="1">
        <f t="array" aca="1" ref="AZ31" ca="1">INDEX(Helper!$E$13:$E$22, OFFSET(Helper!$J$13,$B31,AZ$2))</f>
        <v>90 CCW</v>
      </c>
      <c r="BA31" s="200"/>
      <c r="BB31" s="200"/>
      <c r="BC31" s="200"/>
      <c r="BD31" s="200"/>
      <c r="BE31" s="3"/>
      <c r="BG31" s="200" t="str" cm="1">
        <f t="array" aca="1" ref="BG31" ca="1">INDEX(Helper!$E$13:$E$22, OFFSET(Helper!$J$13,$B31,BG$2))</f>
        <v>Horizontal Flip</v>
      </c>
      <c r="BH31" s="200"/>
      <c r="BI31" s="200"/>
      <c r="BJ31" s="200"/>
      <c r="BK31" s="200"/>
      <c r="BL31" s="3"/>
      <c r="BM31" s="3"/>
      <c r="BN31" s="200" t="str" cm="1">
        <f t="array" aca="1" ref="BN31" ca="1">INDEX(Helper!$E$13:$E$22, OFFSET(Helper!$J$13,$B31,BN$2))</f>
        <v>Shift Down</v>
      </c>
      <c r="BO31" s="200"/>
      <c r="BP31" s="200"/>
      <c r="BQ31" s="200"/>
      <c r="BR31" s="200"/>
      <c r="BS31" s="3"/>
      <c r="BU31" s="200" t="str" cm="1">
        <f t="array" aca="1" ref="BU31" ca="1">INDEX(Helper!$E$13:$E$22, OFFSET(Helper!$J$13,$B31,BU$2))</f>
        <v>Noise</v>
      </c>
      <c r="BV31" s="200"/>
      <c r="BW31" s="200"/>
      <c r="BX31" s="200"/>
      <c r="BY31" s="200"/>
      <c r="CA31" s="29"/>
    </row>
    <row r="32" spans="1:86" s="1" customFormat="1" ht="18" customHeight="1" x14ac:dyDescent="0.2">
      <c r="A32" s="7"/>
      <c r="B32" s="202"/>
      <c r="C32" s="4">
        <v>0.45467298384238108</v>
      </c>
      <c r="D32" s="5">
        <v>1</v>
      </c>
      <c r="E32" s="5">
        <v>0.27972500381266707</v>
      </c>
      <c r="F32" s="5">
        <v>1</v>
      </c>
      <c r="G32" s="6">
        <v>0.52614402110812786</v>
      </c>
      <c r="H32" s="3"/>
      <c r="I32" s="3"/>
      <c r="J32" s="4" cm="1">
        <f t="array" aca="1" ref="J32:N36" ca="1">_xlfn.IFS(J31="None",  $C32:$G36*0,           J31="Horizontal Flip", INDEX($C32:$G36, _xlfn.SEQUENCE(5), 6 - _xlfn.SEQUENCE(1,5)),        J31="Vertical Flip", INDEX($C32:$G36, 6 - _xlfn.SEQUENCE(5), _xlfn.SEQUENCE(1,5)),      J31="180 Rotation", INDEX($C32:$G36, 6 - _xlfn.SEQUENCE(5), 6 - _xlfn.SEQUENCE(1,5)),        J31="90 CW", INDEX($C32:$G36, 6 - _xlfn.SEQUENCE(1,5), _xlfn.SEQUENCE(5)),          J31="90 CCW", INDEX($C32:$G36, _xlfn.SEQUENCE(1,5), 6 - _xlfn.SEQUENCE(5)),         J31="Shift Up", IF(_xlfn.SEQUENCE(5)+1&lt;=5, INDEX($C32:$G36, _xlfn.SEQUENCE(5)+1, _xlfn.SEQUENCE(1,5)), 0),         J31="Shift Down", IF(_xlfn.SEQUENCE(5)-1&gt;=1, INDEX($C32:$G36, _xlfn.SEQUENCE(5)-1, _xlfn.SEQUENCE(1,5)), 0),         J31="Shift Left",   IF(_xlfn.SEQUENCE(1,5)+1&lt;=5, INDEX($C32:$G36, _xlfn.SEQUENCE(5), _xlfn.SEQUENCE(1,5)+1),0),         J31= "Shift Right",  IF(_xlfn.SEQUENCE(1,5)-1&gt;=1, INDEX($C32:$G36, _xlfn.SEQUENCE(5), _xlfn.SEQUENCE(1,5)-1), 0),        J31="Noise",  _xlfn.MAP($C32:$G36 + (_xlfn.RANDARRAY(ROWS($C32:$G36), COLUMNS($C32:$G36)) - 0.5) * 0.4, _xlfn.LAMBDA(_xlpm.x, MAX(0, MIN(1, _xlpm.x)))))</f>
        <v>0.40699938694086901</v>
      </c>
      <c r="K32" s="5">
        <f ca="1"/>
        <v>1</v>
      </c>
      <c r="L32" s="5">
        <f ca="1"/>
        <v>0.59604971214225966</v>
      </c>
      <c r="M32" s="5">
        <f ca="1"/>
        <v>0.25134230023533777</v>
      </c>
      <c r="N32" s="6">
        <f ca="1"/>
        <v>0.36530534645204316</v>
      </c>
      <c r="O32" s="3"/>
      <c r="P32" s="3"/>
      <c r="Q32" s="4" cm="1">
        <f t="array" aca="1" ref="Q32:U36" ca="1">_xlfn.IFS(Q31="None",  $C32:$G36*0,           Q31="Horizontal Flip", INDEX($C32:$G36, _xlfn.SEQUENCE(5), 6 - _xlfn.SEQUENCE(1,5)),        Q31="Vertical Flip", INDEX($C32:$G36, 6 - _xlfn.SEQUENCE(5), _xlfn.SEQUENCE(1,5)),      Q31="180 Rotation", INDEX($C32:$G36, 6 - _xlfn.SEQUENCE(5), 6 - _xlfn.SEQUENCE(1,5)),        Q31="90 CW", INDEX($C32:$G36, 6 - _xlfn.SEQUENCE(1,5), _xlfn.SEQUENCE(5)),          Q31="90 CCW", INDEX($C32:$G36, _xlfn.SEQUENCE(1,5), 6 - _xlfn.SEQUENCE(5)),         Q31="Shift Up", IF(_xlfn.SEQUENCE(5)+1&lt;=5, INDEX($C32:$G36, _xlfn.SEQUENCE(5)+1, _xlfn.SEQUENCE(1,5)), 0),         Q31="Shift Down", IF(_xlfn.SEQUENCE(5)-1&gt;=1, INDEX($C32:$G36, _xlfn.SEQUENCE(5)-1, _xlfn.SEQUENCE(1,5)), 0),         Q31="Shift Left",   IF(_xlfn.SEQUENCE(1,5)+1&lt;=5, INDEX($C32:$G36, _xlfn.SEQUENCE(5), _xlfn.SEQUENCE(1,5)+1),0),         Q31= "Shift Right",  IF(_xlfn.SEQUENCE(1,5)-1&gt;=1, INDEX($C32:$G36, _xlfn.SEQUENCE(5), _xlfn.SEQUENCE(1,5)-1), 0),        Q31="Noise",  _xlfn.MAP($C32:$G36 + (_xlfn.RANDARRAY(ROWS($C32:$G36), COLUMNS($C32:$G36)) - 0.5) * 0.4, _xlfn.LAMBDA(_xlpm.x, MAX(0, MIN(1, _xlpm.x)))))</f>
        <v>0</v>
      </c>
      <c r="R32" s="5">
        <f ca="1"/>
        <v>0.45467298384238108</v>
      </c>
      <c r="S32" s="5">
        <f ca="1"/>
        <v>1</v>
      </c>
      <c r="T32" s="5">
        <f ca="1"/>
        <v>0.27972500381266707</v>
      </c>
      <c r="U32" s="6">
        <f ca="1"/>
        <v>1</v>
      </c>
      <c r="V32" s="3"/>
      <c r="W32" s="3"/>
      <c r="X32" s="4" cm="1">
        <f t="array" aca="1" ref="X32:AB36" ca="1">_xlfn.IFS(X31="None",  $C32:$G36*0,           X31="Horizontal Flip", INDEX($C32:$G36, _xlfn.SEQUENCE(5), 6 - _xlfn.SEQUENCE(1,5)),        X31="Vertical Flip", INDEX($C32:$G36, 6 - _xlfn.SEQUENCE(5), _xlfn.SEQUENCE(1,5)),      X31="180 Rotation", INDEX($C32:$G36, 6 - _xlfn.SEQUENCE(5), 6 - _xlfn.SEQUENCE(1,5)),        X31="90 CW", INDEX($C32:$G36, 6 - _xlfn.SEQUENCE(1,5), _xlfn.SEQUENCE(5)),          X31="90 CCW", INDEX($C32:$G36, _xlfn.SEQUENCE(1,5), 6 - _xlfn.SEQUENCE(5)),         X31="Shift Up", IF(_xlfn.SEQUENCE(5)+1&lt;=5, INDEX($C32:$G36, _xlfn.SEQUENCE(5)+1, _xlfn.SEQUENCE(1,5)), 0),         X31="Shift Down", IF(_xlfn.SEQUENCE(5)-1&gt;=1, INDEX($C32:$G36, _xlfn.SEQUENCE(5)-1, _xlfn.SEQUENCE(1,5)), 0),         X31="Shift Left",   IF(_xlfn.SEQUENCE(1,5)+1&lt;=5, INDEX($C32:$G36, _xlfn.SEQUENCE(5), _xlfn.SEQUENCE(1,5)+1),0),         X31= "Shift Right",  IF(_xlfn.SEQUENCE(1,5)-1&gt;=1, INDEX($C32:$G36, _xlfn.SEQUENCE(5), _xlfn.SEQUENCE(1,5)-1), 0),        X31="Noise",  _xlfn.MAP($C32:$G36 + (_xlfn.RANDARRAY(ROWS($C32:$G36), COLUMNS($C32:$G36)) - 0.5) * 0.4, _xlfn.LAMBDA(_xlpm.x, MAX(0, MIN(1, _xlpm.x)))))</f>
        <v>0.61460710702627142</v>
      </c>
      <c r="Y32" s="5">
        <f ca="1"/>
        <v>1</v>
      </c>
      <c r="Z32" s="5">
        <f ca="1"/>
        <v>0.22403756447098677</v>
      </c>
      <c r="AA32" s="5">
        <f ca="1"/>
        <v>1</v>
      </c>
      <c r="AB32" s="6">
        <f ca="1"/>
        <v>0.18133030005841766</v>
      </c>
      <c r="AC32" s="3"/>
      <c r="AD32" s="3"/>
      <c r="AE32" s="4" cm="1">
        <f t="array" aca="1" ref="AE32:AI36" ca="1">_xlfn.IFS(AE31="None",  $C32:$G36*0,           AE31="Horizontal Flip", INDEX($C32:$G36, _xlfn.SEQUENCE(5), 6 - _xlfn.SEQUENCE(1,5)),        AE31="Vertical Flip", INDEX($C32:$G36, 6 - _xlfn.SEQUENCE(5), _xlfn.SEQUENCE(1,5)),      AE31="180 Rotation", INDEX($C32:$G36, 6 - _xlfn.SEQUENCE(5), 6 - _xlfn.SEQUENCE(1,5)),        AE31="90 CW", INDEX($C32:$G36, 6 - _xlfn.SEQUENCE(1,5), _xlfn.SEQUENCE(5)),          AE31="90 CCW", INDEX($C32:$G36, _xlfn.SEQUENCE(1,5), 6 - _xlfn.SEQUENCE(5)),         AE31="Shift Up", IF(_xlfn.SEQUENCE(5)+1&lt;=5, INDEX($C32:$G36, _xlfn.SEQUENCE(5)+1, _xlfn.SEQUENCE(1,5)), 0),         AE31="Shift Down", IF(_xlfn.SEQUENCE(5)-1&gt;=1, INDEX($C32:$G36, _xlfn.SEQUENCE(5)-1, _xlfn.SEQUENCE(1,5)), 0),         AE31="Shift Left",   IF(_xlfn.SEQUENCE(1,5)+1&lt;=5, INDEX($C32:$G36, _xlfn.SEQUENCE(5), _xlfn.SEQUENCE(1,5)+1),0),         AE31= "Shift Right",  IF(_xlfn.SEQUENCE(1,5)-1&gt;=1, INDEX($C32:$G36, _xlfn.SEQUENCE(5), _xlfn.SEQUENCE(1,5)-1), 0),        AE31="Noise",  _xlfn.MAP($C32:$G36 + (_xlfn.RANDARRAY(ROWS($C32:$G36), COLUMNS($C32:$G36)) - 0.5) * 0.4, _xlfn.LAMBDA(_xlpm.x, MAX(0, MIN(1, _xlpm.x)))))</f>
        <v>0.36530534645204316</v>
      </c>
      <c r="AF32" s="5">
        <f ca="1"/>
        <v>0.57425315353039086</v>
      </c>
      <c r="AG32" s="5">
        <f ca="1"/>
        <v>0.21698807639740347</v>
      </c>
      <c r="AH32" s="5">
        <f ca="1"/>
        <v>0.61460710702627142</v>
      </c>
      <c r="AI32" s="6">
        <f ca="1"/>
        <v>0.45467298384238108</v>
      </c>
      <c r="AJ32" s="3"/>
      <c r="AK32" s="3"/>
      <c r="AL32" s="4" cm="1">
        <f t="array" aca="1" ref="AL32:AP36" ca="1">_xlfn.IFS(AL31="None",  $C32:$G36*0,           AL31="Horizontal Flip", INDEX($C32:$G36, _xlfn.SEQUENCE(5), 6 - _xlfn.SEQUENCE(1,5)),        AL31="Vertical Flip", INDEX($C32:$G36, 6 - _xlfn.SEQUENCE(5), _xlfn.SEQUENCE(1,5)),      AL31="180 Rotation", INDEX($C32:$G36, 6 - _xlfn.SEQUENCE(5), 6 - _xlfn.SEQUENCE(1,5)),        AL31="90 CW", INDEX($C32:$G36, 6 - _xlfn.SEQUENCE(1,5), _xlfn.SEQUENCE(5)),          AL31="90 CCW", INDEX($C32:$G36, _xlfn.SEQUENCE(1,5), 6 - _xlfn.SEQUENCE(5)),         AL31="Shift Up", IF(_xlfn.SEQUENCE(5)+1&lt;=5, INDEX($C32:$G36, _xlfn.SEQUENCE(5)+1, _xlfn.SEQUENCE(1,5)), 0),         AL31="Shift Down", IF(_xlfn.SEQUENCE(5)-1&gt;=1, INDEX($C32:$G36, _xlfn.SEQUENCE(5)-1, _xlfn.SEQUENCE(1,5)), 0),         AL31="Shift Left",   IF(_xlfn.SEQUENCE(1,5)+1&lt;=5, INDEX($C32:$G36, _xlfn.SEQUENCE(5), _xlfn.SEQUENCE(1,5)+1),0),         AL31= "Shift Right",  IF(_xlfn.SEQUENCE(1,5)-1&gt;=1, INDEX($C32:$G36, _xlfn.SEQUENCE(5), _xlfn.SEQUENCE(1,5)-1), 0),        AL31="Noise",  _xlfn.MAP($C32:$G36 + (_xlfn.RANDARRAY(ROWS($C32:$G36), COLUMNS($C32:$G36)) - 0.5) * 0.4, _xlfn.LAMBDA(_xlpm.x, MAX(0, MIN(1, _xlpm.x)))))</f>
        <v>1</v>
      </c>
      <c r="AM32" s="5">
        <f ca="1"/>
        <v>0.27972500381266707</v>
      </c>
      <c r="AN32" s="5">
        <f ca="1"/>
        <v>1</v>
      </c>
      <c r="AO32" s="5">
        <f ca="1"/>
        <v>0.52614402110812786</v>
      </c>
      <c r="AP32" s="6">
        <f ca="1"/>
        <v>0</v>
      </c>
      <c r="AQ32" s="3"/>
      <c r="AR32" s="3"/>
      <c r="AS32" s="4" cm="1">
        <f t="array" aca="1" ref="AS32:AW36" ca="1">_xlfn.IFS(AS31="None",  $C32:$G36*0,           AS31="Horizontal Flip", INDEX($C32:$G36, _xlfn.SEQUENCE(5), 6 - _xlfn.SEQUENCE(1,5)),        AS31="Vertical Flip", INDEX($C32:$G36, 6 - _xlfn.SEQUENCE(5), _xlfn.SEQUENCE(1,5)),      AS31="180 Rotation", INDEX($C32:$G36, 6 - _xlfn.SEQUENCE(5), 6 - _xlfn.SEQUENCE(1,5)),        AS31="90 CW", INDEX($C32:$G36, 6 - _xlfn.SEQUENCE(1,5), _xlfn.SEQUENCE(5)),          AS31="90 CCW", INDEX($C32:$G36, _xlfn.SEQUENCE(1,5), 6 - _xlfn.SEQUENCE(5)),         AS31="Shift Up", IF(_xlfn.SEQUENCE(5)+1&lt;=5, INDEX($C32:$G36, _xlfn.SEQUENCE(5)+1, _xlfn.SEQUENCE(1,5)), 0),         AS31="Shift Down", IF(_xlfn.SEQUENCE(5)-1&gt;=1, INDEX($C32:$G36, _xlfn.SEQUENCE(5)-1, _xlfn.SEQUENCE(1,5)), 0),         AS31="Shift Left",   IF(_xlfn.SEQUENCE(1,5)+1&lt;=5, INDEX($C32:$G36, _xlfn.SEQUENCE(5), _xlfn.SEQUENCE(1,5)+1),0),         AS31= "Shift Right",  IF(_xlfn.SEQUENCE(1,5)-1&gt;=1, INDEX($C32:$G36, _xlfn.SEQUENCE(5), _xlfn.SEQUENCE(1,5)-1), 0),        AS31="Noise",  _xlfn.MAP($C32:$G36 + (_xlfn.RANDARRAY(ROWS($C32:$G36), COLUMNS($C32:$G36)) - 0.5) * 0.4, _xlfn.LAMBDA(_xlpm.x, MAX(0, MIN(1, _xlpm.x)))))</f>
        <v>0.36530534645204316</v>
      </c>
      <c r="AT32" s="5">
        <f ca="1"/>
        <v>0.25134230023533777</v>
      </c>
      <c r="AU32" s="5">
        <f ca="1"/>
        <v>0.59604971214225966</v>
      </c>
      <c r="AV32" s="5">
        <f ca="1"/>
        <v>1</v>
      </c>
      <c r="AW32" s="6">
        <f ca="1"/>
        <v>0.40699938694086901</v>
      </c>
      <c r="AX32" s="3"/>
      <c r="AY32" s="3"/>
      <c r="AZ32" s="4" cm="1">
        <f t="array" aca="1" ref="AZ32:BD36" ca="1">_xlfn.IFS(AZ31="None",  $C32:$G36*0,           AZ31="Horizontal Flip", INDEX($C32:$G36, _xlfn.SEQUENCE(5), 6 - _xlfn.SEQUENCE(1,5)),        AZ31="Vertical Flip", INDEX($C32:$G36, 6 - _xlfn.SEQUENCE(5), _xlfn.SEQUENCE(1,5)),      AZ31="180 Rotation", INDEX($C32:$G36, 6 - _xlfn.SEQUENCE(5), 6 - _xlfn.SEQUENCE(1,5)),        AZ31="90 CW", INDEX($C32:$G36, 6 - _xlfn.SEQUENCE(1,5), _xlfn.SEQUENCE(5)),          AZ31="90 CCW", INDEX($C32:$G36, _xlfn.SEQUENCE(1,5), 6 - _xlfn.SEQUENCE(5)),         AZ31="Shift Up", IF(_xlfn.SEQUENCE(5)+1&lt;=5, INDEX($C32:$G36, _xlfn.SEQUENCE(5)+1, _xlfn.SEQUENCE(1,5)), 0),         AZ31="Shift Down", IF(_xlfn.SEQUENCE(5)-1&gt;=1, INDEX($C32:$G36, _xlfn.SEQUENCE(5)-1, _xlfn.SEQUENCE(1,5)), 0),         AZ31="Shift Left",   IF(_xlfn.SEQUENCE(1,5)+1&lt;=5, INDEX($C32:$G36, _xlfn.SEQUENCE(5), _xlfn.SEQUENCE(1,5)+1),0),         AZ31= "Shift Right",  IF(_xlfn.SEQUENCE(1,5)-1&gt;=1, INDEX($C32:$G36, _xlfn.SEQUENCE(5), _xlfn.SEQUENCE(1,5)-1), 0),        AZ31="Noise",  _xlfn.MAP($C32:$G36 + (_xlfn.RANDARRAY(ROWS($C32:$G36), COLUMNS($C32:$G36)) - 0.5) * 0.4, _xlfn.LAMBDA(_xlpm.x, MAX(0, MIN(1, _xlpm.x)))))</f>
        <v>0.52614402110812786</v>
      </c>
      <c r="BA32" s="5">
        <f ca="1"/>
        <v>0.18133030005841766</v>
      </c>
      <c r="BB32" s="5">
        <f ca="1"/>
        <v>0.62662209670203484</v>
      </c>
      <c r="BC32" s="5">
        <f ca="1"/>
        <v>0.28950803813331716</v>
      </c>
      <c r="BD32" s="6">
        <f ca="1"/>
        <v>0.40699938694086901</v>
      </c>
      <c r="BE32" s="3"/>
      <c r="BG32" s="4" cm="1">
        <f t="array" aca="1" ref="BG32:BK36" ca="1">_xlfn.IFS(BG31="None",  $C32:$G36*0,           BG31="Horizontal Flip", INDEX($C32:$G36, _xlfn.SEQUENCE(5), 6 - _xlfn.SEQUENCE(1,5)),        BG31="Vertical Flip", INDEX($C32:$G36, 6 - _xlfn.SEQUENCE(5), _xlfn.SEQUENCE(1,5)),      BG31="180 Rotation", INDEX($C32:$G36, 6 - _xlfn.SEQUENCE(5), 6 - _xlfn.SEQUENCE(1,5)),        BG31="90 CW", INDEX($C32:$G36, 6 - _xlfn.SEQUENCE(1,5), _xlfn.SEQUENCE(5)),          BG31="90 CCW", INDEX($C32:$G36, _xlfn.SEQUENCE(1,5), 6 - _xlfn.SEQUENCE(5)),         BG31="Shift Up", IF(_xlfn.SEQUENCE(5)+1&lt;=5, INDEX($C32:$G36, _xlfn.SEQUENCE(5)+1, _xlfn.SEQUENCE(1,5)), 0),         BG31="Shift Down", IF(_xlfn.SEQUENCE(5)-1&gt;=1, INDEX($C32:$G36, _xlfn.SEQUENCE(5)-1, _xlfn.SEQUENCE(1,5)), 0),         BG31="Shift Left",   IF(_xlfn.SEQUENCE(1,5)+1&lt;=5, INDEX($C32:$G36, _xlfn.SEQUENCE(5), _xlfn.SEQUENCE(1,5)+1),0),         BG31= "Shift Right",  IF(_xlfn.SEQUENCE(1,5)-1&gt;=1, INDEX($C32:$G36, _xlfn.SEQUENCE(5), _xlfn.SEQUENCE(1,5)-1), 0),        BG31="Noise",  _xlfn.MAP($C32:$G36 + (_xlfn.RANDARRAY(ROWS($C32:$G36), COLUMNS($C32:$G36)) - 0.5) * 0.4, _xlfn.LAMBDA(_xlpm.x, MAX(0, MIN(1, _xlpm.x)))))</f>
        <v>0.52614402110812786</v>
      </c>
      <c r="BH32" s="5">
        <f ca="1"/>
        <v>1</v>
      </c>
      <c r="BI32" s="5">
        <f ca="1"/>
        <v>0.27972500381266707</v>
      </c>
      <c r="BJ32" s="5">
        <f ca="1"/>
        <v>1</v>
      </c>
      <c r="BK32" s="6">
        <f ca="1"/>
        <v>0.45467298384238108</v>
      </c>
      <c r="BL32" s="3"/>
      <c r="BM32" s="3"/>
      <c r="BN32" s="4" cm="1">
        <f t="array" aca="1" ref="BN32:BR36" ca="1">_xlfn.IFS(BN31="None",  $C32:$G36*0,           BN31="Horizontal Flip", INDEX($C32:$G36, _xlfn.SEQUENCE(5), 6 - _xlfn.SEQUENCE(1,5)),        BN31="Vertical Flip", INDEX($C32:$G36, 6 - _xlfn.SEQUENCE(5), _xlfn.SEQUENCE(1,5)),      BN31="180 Rotation", INDEX($C32:$G36, 6 - _xlfn.SEQUENCE(5), 6 - _xlfn.SEQUENCE(1,5)),        BN31="90 CW", INDEX($C32:$G36, 6 - _xlfn.SEQUENCE(1,5), _xlfn.SEQUENCE(5)),          BN31="90 CCW", INDEX($C32:$G36, _xlfn.SEQUENCE(1,5), 6 - _xlfn.SEQUENCE(5)),         BN31="Shift Up", IF(_xlfn.SEQUENCE(5)+1&lt;=5, INDEX($C32:$G36, _xlfn.SEQUENCE(5)+1, _xlfn.SEQUENCE(1,5)), 0),         BN31="Shift Down", IF(_xlfn.SEQUENCE(5)-1&gt;=1, INDEX($C32:$G36, _xlfn.SEQUENCE(5)-1, _xlfn.SEQUENCE(1,5)), 0),         BN31="Shift Left",   IF(_xlfn.SEQUENCE(1,5)+1&lt;=5, INDEX($C32:$G36, _xlfn.SEQUENCE(5), _xlfn.SEQUENCE(1,5)+1),0),         BN31= "Shift Right",  IF(_xlfn.SEQUENCE(1,5)-1&gt;=1, INDEX($C32:$G36, _xlfn.SEQUENCE(5), _xlfn.SEQUENCE(1,5)-1), 0),        BN31="Noise",  _xlfn.MAP($C32:$G36 + (_xlfn.RANDARRAY(ROWS($C32:$G36), COLUMNS($C32:$G36)) - 0.5) * 0.4, _xlfn.LAMBDA(_xlpm.x, MAX(0, MIN(1, _xlpm.x)))))</f>
        <v>0</v>
      </c>
      <c r="BO32" s="5">
        <f ca="1"/>
        <v>0</v>
      </c>
      <c r="BP32" s="5">
        <f ca="1"/>
        <v>0</v>
      </c>
      <c r="BQ32" s="5">
        <f ca="1"/>
        <v>0</v>
      </c>
      <c r="BR32" s="6">
        <f ca="1"/>
        <v>0</v>
      </c>
      <c r="BS32" s="3"/>
      <c r="BU32" s="4" cm="1">
        <f t="array" aca="1" ref="BU32:BY36" ca="1">_xlfn.IFS(BU31="None",  $C32:$G36*0,           BU31="Horizontal Flip", INDEX($C32:$G36, _xlfn.SEQUENCE(5), 6 - _xlfn.SEQUENCE(1,5)),        BU31="Vertical Flip", INDEX($C32:$G36, 6 - _xlfn.SEQUENCE(5), _xlfn.SEQUENCE(1,5)),      BU31="180 Rotation", INDEX($C32:$G36, 6 - _xlfn.SEQUENCE(5), 6 - _xlfn.SEQUENCE(1,5)),        BU31="90 CW", INDEX($C32:$G36, 6 - _xlfn.SEQUENCE(1,5), _xlfn.SEQUENCE(5)),          BU31="90 CCW", INDEX($C32:$G36, _xlfn.SEQUENCE(1,5), 6 - _xlfn.SEQUENCE(5)),         BU31="Shift Up", IF(_xlfn.SEQUENCE(5)+1&lt;=5, INDEX($C32:$G36, _xlfn.SEQUENCE(5)+1, _xlfn.SEQUENCE(1,5)), 0),         BU31="Shift Down", IF(_xlfn.SEQUENCE(5)-1&gt;=1, INDEX($C32:$G36, _xlfn.SEQUENCE(5)-1, _xlfn.SEQUENCE(1,5)), 0),         BU31="Shift Left",   IF(_xlfn.SEQUENCE(1,5)+1&lt;=5, INDEX($C32:$G36, _xlfn.SEQUENCE(5), _xlfn.SEQUENCE(1,5)+1),0),         BU31= "Shift Right",  IF(_xlfn.SEQUENCE(1,5)-1&gt;=1, INDEX($C32:$G36, _xlfn.SEQUENCE(5), _xlfn.SEQUENCE(1,5)-1), 0),        BU31="Noise",  _xlfn.MAP($C32:$G36 + (_xlfn.RANDARRAY(ROWS($C32:$G36), COLUMNS($C32:$G36)) - 0.5) * 0.4, _xlfn.LAMBDA(_xlpm.x, MAX(0, MIN(1, _xlpm.x)))))</f>
        <v>0.4894400017655316</v>
      </c>
      <c r="BV32" s="5">
        <f ca="1"/>
        <v>0.97311491946533846</v>
      </c>
      <c r="BW32" s="5">
        <f ca="1"/>
        <v>0.27010941496449464</v>
      </c>
      <c r="BX32" s="5">
        <f ca="1"/>
        <v>1</v>
      </c>
      <c r="BY32" s="6">
        <f ca="1"/>
        <v>0.64111367810944131</v>
      </c>
      <c r="CA32" s="29"/>
    </row>
    <row r="33" spans="1:79" s="1" customFormat="1" ht="18" customHeight="1" x14ac:dyDescent="0.2">
      <c r="A33" s="7"/>
      <c r="B33" s="202"/>
      <c r="C33" s="7">
        <v>0.61460710702627142</v>
      </c>
      <c r="D33" s="3">
        <v>1</v>
      </c>
      <c r="E33" s="3">
        <v>0.22403756447098677</v>
      </c>
      <c r="F33" s="3">
        <v>1</v>
      </c>
      <c r="G33" s="8">
        <v>0.18133030005841766</v>
      </c>
      <c r="H33" s="3"/>
      <c r="I33" s="3"/>
      <c r="J33" s="7">
        <f ca="1"/>
        <v>0.28950803813331716</v>
      </c>
      <c r="K33" s="3">
        <f ca="1"/>
        <v>1</v>
      </c>
      <c r="L33" s="3">
        <f ca="1"/>
        <v>0.24681594674429086</v>
      </c>
      <c r="M33" s="3">
        <f ca="1"/>
        <v>0.63872802605315626</v>
      </c>
      <c r="N33" s="8">
        <f ca="1"/>
        <v>0.57425315353039086</v>
      </c>
      <c r="O33" s="3"/>
      <c r="P33" s="3"/>
      <c r="Q33" s="7">
        <f ca="1"/>
        <v>0</v>
      </c>
      <c r="R33" s="3">
        <f ca="1"/>
        <v>0.61460710702627142</v>
      </c>
      <c r="S33" s="3">
        <f ca="1"/>
        <v>1</v>
      </c>
      <c r="T33" s="3">
        <f ca="1"/>
        <v>0.22403756447098677</v>
      </c>
      <c r="U33" s="8">
        <f ca="1"/>
        <v>1</v>
      </c>
      <c r="V33" s="3"/>
      <c r="W33" s="3"/>
      <c r="X33" s="7">
        <f ca="1"/>
        <v>0.21698807639740347</v>
      </c>
      <c r="Y33" s="3">
        <f ca="1"/>
        <v>1</v>
      </c>
      <c r="Z33" s="3">
        <f ca="1"/>
        <v>1</v>
      </c>
      <c r="AA33" s="3">
        <f ca="1"/>
        <v>1</v>
      </c>
      <c r="AB33" s="8">
        <f ca="1"/>
        <v>0.62662209670203484</v>
      </c>
      <c r="AC33" s="3"/>
      <c r="AD33" s="3"/>
      <c r="AE33" s="7">
        <f ca="1"/>
        <v>0.25134230023533777</v>
      </c>
      <c r="AF33" s="3">
        <f ca="1"/>
        <v>0.63872802605315626</v>
      </c>
      <c r="AG33" s="3">
        <f ca="1"/>
        <v>1</v>
      </c>
      <c r="AH33" s="3">
        <f ca="1"/>
        <v>1</v>
      </c>
      <c r="AI33" s="8">
        <f ca="1"/>
        <v>1</v>
      </c>
      <c r="AJ33" s="3"/>
      <c r="AK33" s="3"/>
      <c r="AL33" s="7">
        <f ca="1"/>
        <v>1</v>
      </c>
      <c r="AM33" s="3">
        <f ca="1"/>
        <v>0.22403756447098677</v>
      </c>
      <c r="AN33" s="3">
        <f ca="1"/>
        <v>1</v>
      </c>
      <c r="AO33" s="3">
        <f ca="1"/>
        <v>0.18133030005841766</v>
      </c>
      <c r="AP33" s="8">
        <f ca="1"/>
        <v>0</v>
      </c>
      <c r="AQ33" s="3"/>
      <c r="AR33" s="3"/>
      <c r="AS33" s="7">
        <f ca="1"/>
        <v>0.57425315353039086</v>
      </c>
      <c r="AT33" s="3">
        <f ca="1"/>
        <v>0.63872802605315626</v>
      </c>
      <c r="AU33" s="3">
        <f ca="1"/>
        <v>0.24681594674429086</v>
      </c>
      <c r="AV33" s="3">
        <f ca="1"/>
        <v>1</v>
      </c>
      <c r="AW33" s="8">
        <f ca="1"/>
        <v>0.28950803813331716</v>
      </c>
      <c r="AX33" s="3"/>
      <c r="AY33" s="3"/>
      <c r="AZ33" s="7">
        <f ca="1"/>
        <v>1</v>
      </c>
      <c r="BA33" s="3">
        <f ca="1"/>
        <v>1</v>
      </c>
      <c r="BB33" s="3">
        <f ca="1"/>
        <v>1</v>
      </c>
      <c r="BC33" s="3">
        <f ca="1"/>
        <v>1</v>
      </c>
      <c r="BD33" s="8">
        <f ca="1"/>
        <v>1</v>
      </c>
      <c r="BE33" s="3"/>
      <c r="BG33" s="7">
        <f ca="1"/>
        <v>0.18133030005841766</v>
      </c>
      <c r="BH33" s="3">
        <f ca="1"/>
        <v>1</v>
      </c>
      <c r="BI33" s="3">
        <f ca="1"/>
        <v>0.22403756447098677</v>
      </c>
      <c r="BJ33" s="3">
        <f ca="1"/>
        <v>1</v>
      </c>
      <c r="BK33" s="8">
        <f ca="1"/>
        <v>0.61460710702627142</v>
      </c>
      <c r="BL33" s="3"/>
      <c r="BM33" s="3"/>
      <c r="BN33" s="7">
        <f ca="1"/>
        <v>0.45467298384238108</v>
      </c>
      <c r="BO33" s="3">
        <f ca="1"/>
        <v>1</v>
      </c>
      <c r="BP33" s="3">
        <f ca="1"/>
        <v>0.27972500381266707</v>
      </c>
      <c r="BQ33" s="3">
        <f ca="1"/>
        <v>1</v>
      </c>
      <c r="BR33" s="8">
        <f ca="1"/>
        <v>0.52614402110812786</v>
      </c>
      <c r="BS33" s="3"/>
      <c r="BU33" s="7">
        <f ca="1"/>
        <v>0.53265798975473344</v>
      </c>
      <c r="BV33" s="3">
        <f ca="1"/>
        <v>0.88779766389066317</v>
      </c>
      <c r="BW33" s="3">
        <f ca="1"/>
        <v>0.25005279196057062</v>
      </c>
      <c r="BX33" s="3">
        <f ca="1"/>
        <v>0.99093413855786161</v>
      </c>
      <c r="BY33" s="8">
        <f ca="1"/>
        <v>0.23503881809262578</v>
      </c>
      <c r="CA33" s="29"/>
    </row>
    <row r="34" spans="1:79" s="1" customFormat="1" ht="18" customHeight="1" x14ac:dyDescent="0.2">
      <c r="A34" s="7"/>
      <c r="B34" s="202"/>
      <c r="C34" s="7">
        <v>0.21698807639740347</v>
      </c>
      <c r="D34" s="3">
        <v>1</v>
      </c>
      <c r="E34" s="3">
        <v>1</v>
      </c>
      <c r="F34" s="3">
        <v>1</v>
      </c>
      <c r="G34" s="8">
        <v>0.62662209670203484</v>
      </c>
      <c r="H34" s="3"/>
      <c r="I34" s="3"/>
      <c r="J34" s="7">
        <f ca="1"/>
        <v>0.62662209670203484</v>
      </c>
      <c r="K34" s="3">
        <f ca="1"/>
        <v>1</v>
      </c>
      <c r="L34" s="3">
        <f ca="1"/>
        <v>1</v>
      </c>
      <c r="M34" s="3">
        <f ca="1"/>
        <v>1</v>
      </c>
      <c r="N34" s="8">
        <f ca="1"/>
        <v>0.21698807639740347</v>
      </c>
      <c r="O34" s="3"/>
      <c r="P34" s="3"/>
      <c r="Q34" s="7">
        <f ca="1"/>
        <v>0</v>
      </c>
      <c r="R34" s="3">
        <f ca="1"/>
        <v>0.21698807639740347</v>
      </c>
      <c r="S34" s="3">
        <f ca="1"/>
        <v>1</v>
      </c>
      <c r="T34" s="3">
        <f ca="1"/>
        <v>1</v>
      </c>
      <c r="U34" s="8">
        <f ca="1"/>
        <v>1</v>
      </c>
      <c r="V34" s="3"/>
      <c r="W34" s="3"/>
      <c r="X34" s="7">
        <f ca="1"/>
        <v>0.57425315353039086</v>
      </c>
      <c r="Y34" s="3">
        <f ca="1"/>
        <v>0.63872802605315626</v>
      </c>
      <c r="Z34" s="3">
        <f ca="1"/>
        <v>0.24681594674429086</v>
      </c>
      <c r="AA34" s="3">
        <f ca="1"/>
        <v>1</v>
      </c>
      <c r="AB34" s="8">
        <f ca="1"/>
        <v>0.28950803813331716</v>
      </c>
      <c r="AC34" s="3"/>
      <c r="AD34" s="3"/>
      <c r="AE34" s="7">
        <f ca="1"/>
        <v>0.59604971214225966</v>
      </c>
      <c r="AF34" s="3">
        <f ca="1"/>
        <v>0.24681594674429086</v>
      </c>
      <c r="AG34" s="3">
        <f ca="1"/>
        <v>1</v>
      </c>
      <c r="AH34" s="3">
        <f ca="1"/>
        <v>0.22403756447098677</v>
      </c>
      <c r="AI34" s="8">
        <f ca="1"/>
        <v>0.27972500381266707</v>
      </c>
      <c r="AJ34" s="3"/>
      <c r="AK34" s="3"/>
      <c r="AL34" s="7">
        <f ca="1"/>
        <v>1</v>
      </c>
      <c r="AM34" s="3">
        <f ca="1"/>
        <v>1</v>
      </c>
      <c r="AN34" s="3">
        <f ca="1"/>
        <v>1</v>
      </c>
      <c r="AO34" s="3">
        <f ca="1"/>
        <v>0.62662209670203484</v>
      </c>
      <c r="AP34" s="8">
        <f ca="1"/>
        <v>0</v>
      </c>
      <c r="AQ34" s="3"/>
      <c r="AR34" s="3"/>
      <c r="AS34" s="7">
        <f ca="1"/>
        <v>0.21698807639740347</v>
      </c>
      <c r="AT34" s="3">
        <f ca="1"/>
        <v>1</v>
      </c>
      <c r="AU34" s="3">
        <f ca="1"/>
        <v>1</v>
      </c>
      <c r="AV34" s="3">
        <f ca="1"/>
        <v>1</v>
      </c>
      <c r="AW34" s="8">
        <f ca="1"/>
        <v>0.62662209670203484</v>
      </c>
      <c r="AX34" s="3"/>
      <c r="AY34" s="3"/>
      <c r="AZ34" s="7">
        <f ca="1"/>
        <v>0.27972500381266707</v>
      </c>
      <c r="BA34" s="3">
        <f ca="1"/>
        <v>0.22403756447098677</v>
      </c>
      <c r="BB34" s="3">
        <f ca="1"/>
        <v>1</v>
      </c>
      <c r="BC34" s="3">
        <f ca="1"/>
        <v>0.24681594674429086</v>
      </c>
      <c r="BD34" s="8">
        <f ca="1"/>
        <v>0.59604971214225966</v>
      </c>
      <c r="BE34" s="3"/>
      <c r="BG34" s="7">
        <f ca="1"/>
        <v>0.62662209670203484</v>
      </c>
      <c r="BH34" s="3">
        <f ca="1"/>
        <v>1</v>
      </c>
      <c r="BI34" s="3">
        <f ca="1"/>
        <v>1</v>
      </c>
      <c r="BJ34" s="3">
        <f ca="1"/>
        <v>1</v>
      </c>
      <c r="BK34" s="8">
        <f ca="1"/>
        <v>0.21698807639740347</v>
      </c>
      <c r="BL34" s="3"/>
      <c r="BM34" s="3"/>
      <c r="BN34" s="7">
        <f ca="1"/>
        <v>0.61460710702627142</v>
      </c>
      <c r="BO34" s="3">
        <f ca="1"/>
        <v>1</v>
      </c>
      <c r="BP34" s="3">
        <f ca="1"/>
        <v>0.22403756447098677</v>
      </c>
      <c r="BQ34" s="3">
        <f ca="1"/>
        <v>1</v>
      </c>
      <c r="BR34" s="8">
        <f ca="1"/>
        <v>0.18133030005841766</v>
      </c>
      <c r="BS34" s="3"/>
      <c r="BU34" s="7">
        <f ca="1"/>
        <v>0.3534721882173853</v>
      </c>
      <c r="BV34" s="3">
        <f ca="1"/>
        <v>0.91498472408102449</v>
      </c>
      <c r="BW34" s="3">
        <f ca="1"/>
        <v>0.91743496311476491</v>
      </c>
      <c r="BX34" s="3">
        <f ca="1"/>
        <v>0.93879274462549112</v>
      </c>
      <c r="BY34" s="8">
        <f ca="1"/>
        <v>0.78920205386188647</v>
      </c>
      <c r="CA34" s="29"/>
    </row>
    <row r="35" spans="1:79" s="1" customFormat="1" ht="18" customHeight="1" x14ac:dyDescent="0.2">
      <c r="A35" s="7"/>
      <c r="B35" s="202"/>
      <c r="C35" s="7">
        <v>0.57425315353039086</v>
      </c>
      <c r="D35" s="3">
        <v>0.63872802605315626</v>
      </c>
      <c r="E35" s="3">
        <v>0.24681594674429086</v>
      </c>
      <c r="F35" s="3">
        <v>1</v>
      </c>
      <c r="G35" s="8">
        <v>0.28950803813331716</v>
      </c>
      <c r="H35" s="3"/>
      <c r="I35" s="3"/>
      <c r="J35" s="7">
        <f ca="1"/>
        <v>0.18133030005841766</v>
      </c>
      <c r="K35" s="3">
        <f ca="1"/>
        <v>1</v>
      </c>
      <c r="L35" s="3">
        <f ca="1"/>
        <v>0.22403756447098677</v>
      </c>
      <c r="M35" s="3">
        <f ca="1"/>
        <v>1</v>
      </c>
      <c r="N35" s="8">
        <f ca="1"/>
        <v>0.61460710702627142</v>
      </c>
      <c r="O35" s="3"/>
      <c r="P35" s="3"/>
      <c r="Q35" s="7">
        <f ca="1"/>
        <v>0</v>
      </c>
      <c r="R35" s="3">
        <f ca="1"/>
        <v>0.57425315353039086</v>
      </c>
      <c r="S35" s="3">
        <f ca="1"/>
        <v>0.63872802605315626</v>
      </c>
      <c r="T35" s="3">
        <f ca="1"/>
        <v>0.24681594674429086</v>
      </c>
      <c r="U35" s="8">
        <f ca="1"/>
        <v>1</v>
      </c>
      <c r="V35" s="3"/>
      <c r="W35" s="3"/>
      <c r="X35" s="7">
        <f ca="1"/>
        <v>0.36530534645204316</v>
      </c>
      <c r="Y35" s="3">
        <f ca="1"/>
        <v>0.25134230023533777</v>
      </c>
      <c r="Z35" s="3">
        <f ca="1"/>
        <v>0.59604971214225966</v>
      </c>
      <c r="AA35" s="3">
        <f ca="1"/>
        <v>1</v>
      </c>
      <c r="AB35" s="8">
        <f ca="1"/>
        <v>0.40699938694086901</v>
      </c>
      <c r="AC35" s="3"/>
      <c r="AD35" s="3"/>
      <c r="AE35" s="7">
        <f ca="1"/>
        <v>1</v>
      </c>
      <c r="AF35" s="3">
        <f ca="1"/>
        <v>1</v>
      </c>
      <c r="AG35" s="3">
        <f ca="1"/>
        <v>1</v>
      </c>
      <c r="AH35" s="3">
        <f ca="1"/>
        <v>1</v>
      </c>
      <c r="AI35" s="8">
        <f ca="1"/>
        <v>1</v>
      </c>
      <c r="AJ35" s="3"/>
      <c r="AK35" s="3"/>
      <c r="AL35" s="7">
        <f ca="1"/>
        <v>0.63872802605315626</v>
      </c>
      <c r="AM35" s="3">
        <f ca="1"/>
        <v>0.24681594674429086</v>
      </c>
      <c r="AN35" s="3">
        <f ca="1"/>
        <v>1</v>
      </c>
      <c r="AO35" s="3">
        <f ca="1"/>
        <v>0.28950803813331716</v>
      </c>
      <c r="AP35" s="8">
        <f ca="1"/>
        <v>0</v>
      </c>
      <c r="AQ35" s="3"/>
      <c r="AR35" s="3"/>
      <c r="AS35" s="7">
        <f ca="1"/>
        <v>0.61460710702627142</v>
      </c>
      <c r="AT35" s="3">
        <f ca="1"/>
        <v>1</v>
      </c>
      <c r="AU35" s="3">
        <f ca="1"/>
        <v>0.22403756447098677</v>
      </c>
      <c r="AV35" s="3">
        <f ca="1"/>
        <v>1</v>
      </c>
      <c r="AW35" s="8">
        <f ca="1"/>
        <v>0.18133030005841766</v>
      </c>
      <c r="AX35" s="3"/>
      <c r="AY35" s="3"/>
      <c r="AZ35" s="7">
        <f ca="1"/>
        <v>1</v>
      </c>
      <c r="BA35" s="3">
        <f ca="1"/>
        <v>1</v>
      </c>
      <c r="BB35" s="3">
        <f ca="1"/>
        <v>1</v>
      </c>
      <c r="BC35" s="3">
        <f ca="1"/>
        <v>0.63872802605315626</v>
      </c>
      <c r="BD35" s="8">
        <f ca="1"/>
        <v>0.25134230023533777</v>
      </c>
      <c r="BE35" s="3"/>
      <c r="BG35" s="7">
        <f ca="1"/>
        <v>0.28950803813331716</v>
      </c>
      <c r="BH35" s="3">
        <f ca="1"/>
        <v>1</v>
      </c>
      <c r="BI35" s="3">
        <f ca="1"/>
        <v>0.24681594674429086</v>
      </c>
      <c r="BJ35" s="3">
        <f ca="1"/>
        <v>0.63872802605315626</v>
      </c>
      <c r="BK35" s="8">
        <f ca="1"/>
        <v>0.57425315353039086</v>
      </c>
      <c r="BL35" s="3"/>
      <c r="BM35" s="3"/>
      <c r="BN35" s="7">
        <f ca="1"/>
        <v>0.21698807639740347</v>
      </c>
      <c r="BO35" s="3">
        <f ca="1"/>
        <v>1</v>
      </c>
      <c r="BP35" s="3">
        <f ca="1"/>
        <v>1</v>
      </c>
      <c r="BQ35" s="3">
        <f ca="1"/>
        <v>1</v>
      </c>
      <c r="BR35" s="8">
        <f ca="1"/>
        <v>0.62662209670203484</v>
      </c>
      <c r="BS35" s="3"/>
      <c r="BU35" s="7">
        <f ca="1"/>
        <v>0.52479157865055626</v>
      </c>
      <c r="BV35" s="3">
        <f ca="1"/>
        <v>0.44355617635455136</v>
      </c>
      <c r="BW35" s="3">
        <f ca="1"/>
        <v>0.22003997791549443</v>
      </c>
      <c r="BX35" s="3">
        <f ca="1"/>
        <v>1</v>
      </c>
      <c r="BY35" s="8">
        <f ca="1"/>
        <v>0.27808602022764584</v>
      </c>
      <c r="CA35" s="29"/>
    </row>
    <row r="36" spans="1:79" s="1" customFormat="1" ht="18" customHeight="1" thickBot="1" x14ac:dyDescent="0.25">
      <c r="A36" s="7"/>
      <c r="B36" s="202"/>
      <c r="C36" s="9">
        <v>0.36530534645204316</v>
      </c>
      <c r="D36" s="10">
        <v>0.25134230023533777</v>
      </c>
      <c r="E36" s="10">
        <v>0.59604971214225966</v>
      </c>
      <c r="F36" s="10">
        <v>1</v>
      </c>
      <c r="G36" s="11">
        <v>0.40699938694086901</v>
      </c>
      <c r="H36" s="3"/>
      <c r="I36" s="3"/>
      <c r="J36" s="9">
        <f ca="1"/>
        <v>0.52614402110812786</v>
      </c>
      <c r="K36" s="10">
        <f ca="1"/>
        <v>1</v>
      </c>
      <c r="L36" s="10">
        <f ca="1"/>
        <v>0.27972500381266707</v>
      </c>
      <c r="M36" s="10">
        <f ca="1"/>
        <v>1</v>
      </c>
      <c r="N36" s="11">
        <f ca="1"/>
        <v>0.45467298384238108</v>
      </c>
      <c r="O36" s="3"/>
      <c r="P36" s="3"/>
      <c r="Q36" s="9">
        <f ca="1"/>
        <v>0</v>
      </c>
      <c r="R36" s="10">
        <f ca="1"/>
        <v>0.36530534645204316</v>
      </c>
      <c r="S36" s="10">
        <f ca="1"/>
        <v>0.25134230023533777</v>
      </c>
      <c r="T36" s="10">
        <f ca="1"/>
        <v>0.59604971214225966</v>
      </c>
      <c r="U36" s="11">
        <f ca="1"/>
        <v>1</v>
      </c>
      <c r="V36" s="3"/>
      <c r="W36" s="3"/>
      <c r="X36" s="9">
        <f ca="1"/>
        <v>0</v>
      </c>
      <c r="Y36" s="10">
        <f ca="1"/>
        <v>0</v>
      </c>
      <c r="Z36" s="10">
        <f ca="1"/>
        <v>0</v>
      </c>
      <c r="AA36" s="10">
        <f ca="1"/>
        <v>0</v>
      </c>
      <c r="AB36" s="11">
        <f ca="1"/>
        <v>0</v>
      </c>
      <c r="AC36" s="3"/>
      <c r="AD36" s="3"/>
      <c r="AE36" s="9">
        <f ca="1"/>
        <v>0.40699938694086901</v>
      </c>
      <c r="AF36" s="10">
        <f ca="1"/>
        <v>0.28950803813331716</v>
      </c>
      <c r="AG36" s="10">
        <f ca="1"/>
        <v>0.62662209670203484</v>
      </c>
      <c r="AH36" s="10">
        <f ca="1"/>
        <v>0.18133030005841766</v>
      </c>
      <c r="AI36" s="11">
        <f ca="1"/>
        <v>0.52614402110812786</v>
      </c>
      <c r="AJ36" s="3"/>
      <c r="AK36" s="3"/>
      <c r="AL36" s="9">
        <f ca="1"/>
        <v>0.25134230023533777</v>
      </c>
      <c r="AM36" s="10">
        <f ca="1"/>
        <v>0.59604971214225966</v>
      </c>
      <c r="AN36" s="10">
        <f ca="1"/>
        <v>1</v>
      </c>
      <c r="AO36" s="10">
        <f ca="1"/>
        <v>0.40699938694086901</v>
      </c>
      <c r="AP36" s="11">
        <f ca="1"/>
        <v>0</v>
      </c>
      <c r="AQ36" s="3"/>
      <c r="AR36" s="3"/>
      <c r="AS36" s="9">
        <f ca="1"/>
        <v>0.45467298384238108</v>
      </c>
      <c r="AT36" s="10">
        <f ca="1"/>
        <v>1</v>
      </c>
      <c r="AU36" s="10">
        <f ca="1"/>
        <v>0.27972500381266707</v>
      </c>
      <c r="AV36" s="10">
        <f ca="1"/>
        <v>1</v>
      </c>
      <c r="AW36" s="11">
        <f ca="1"/>
        <v>0.52614402110812786</v>
      </c>
      <c r="AX36" s="3"/>
      <c r="AY36" s="3"/>
      <c r="AZ36" s="9">
        <f ca="1"/>
        <v>0.45467298384238108</v>
      </c>
      <c r="BA36" s="10">
        <f ca="1"/>
        <v>0.61460710702627142</v>
      </c>
      <c r="BB36" s="10">
        <f ca="1"/>
        <v>0.21698807639740347</v>
      </c>
      <c r="BC36" s="10">
        <f ca="1"/>
        <v>0.57425315353039086</v>
      </c>
      <c r="BD36" s="11">
        <f ca="1"/>
        <v>0.36530534645204316</v>
      </c>
      <c r="BE36" s="3"/>
      <c r="BG36" s="9">
        <f ca="1"/>
        <v>0.40699938694086901</v>
      </c>
      <c r="BH36" s="10">
        <f ca="1"/>
        <v>1</v>
      </c>
      <c r="BI36" s="10">
        <f ca="1"/>
        <v>0.59604971214225966</v>
      </c>
      <c r="BJ36" s="10">
        <f ca="1"/>
        <v>0.25134230023533777</v>
      </c>
      <c r="BK36" s="11">
        <f ca="1"/>
        <v>0.36530534645204316</v>
      </c>
      <c r="BL36" s="3"/>
      <c r="BM36" s="3"/>
      <c r="BN36" s="9">
        <f ca="1"/>
        <v>0.57425315353039086</v>
      </c>
      <c r="BO36" s="10">
        <f ca="1"/>
        <v>0.63872802605315626</v>
      </c>
      <c r="BP36" s="10">
        <f ca="1"/>
        <v>0.24681594674429086</v>
      </c>
      <c r="BQ36" s="10">
        <f ca="1"/>
        <v>1</v>
      </c>
      <c r="BR36" s="11">
        <f ca="1"/>
        <v>0.28950803813331716</v>
      </c>
      <c r="BS36" s="3"/>
      <c r="BU36" s="9">
        <f ca="1"/>
        <v>0.29681435220812791</v>
      </c>
      <c r="BV36" s="10">
        <f ca="1"/>
        <v>7.8937425748692031E-2</v>
      </c>
      <c r="BW36" s="10">
        <f ca="1"/>
        <v>0.78226442768011173</v>
      </c>
      <c r="BX36" s="10">
        <f ca="1"/>
        <v>0.90046307539210502</v>
      </c>
      <c r="BY36" s="11">
        <f ca="1"/>
        <v>0.2433415402942587</v>
      </c>
      <c r="CA36" s="29"/>
    </row>
    <row r="37" spans="1:79" s="1" customFormat="1" ht="18" customHeight="1" x14ac:dyDescent="0.2">
      <c r="A37" s="7"/>
      <c r="B37" s="2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U37" s="3"/>
      <c r="BV37" s="3"/>
      <c r="BW37" s="3"/>
      <c r="BX37" s="3"/>
      <c r="BY37" s="3"/>
      <c r="CA37" s="29"/>
    </row>
    <row r="38" spans="1:79" s="1" customFormat="1" ht="18" customHeight="1" thickBot="1" x14ac:dyDescent="0.25">
      <c r="A38" s="7"/>
      <c r="B38" s="202">
        <v>5</v>
      </c>
      <c r="C38" s="200" t="s">
        <v>9</v>
      </c>
      <c r="D38" s="200"/>
      <c r="E38" s="200"/>
      <c r="F38" s="200"/>
      <c r="G38" s="200"/>
      <c r="H38" s="28"/>
      <c r="I38" s="3"/>
      <c r="J38" s="200" t="str" cm="1">
        <f t="array" aca="1" ref="J38" ca="1">INDEX(Helper!$E$13:$E$22, OFFSET(Helper!$J$13,$B38,J$2))</f>
        <v>Shift Down</v>
      </c>
      <c r="K38" s="200"/>
      <c r="L38" s="200"/>
      <c r="M38" s="200"/>
      <c r="N38" s="200"/>
      <c r="O38" s="3"/>
      <c r="P38" s="3"/>
      <c r="Q38" s="200" t="str" cm="1">
        <f t="array" aca="1" ref="Q38" ca="1">INDEX(Helper!$E$13:$E$22, OFFSET(Helper!$J$13,$B38,Q$2))</f>
        <v>Vertical Flip</v>
      </c>
      <c r="R38" s="200"/>
      <c r="S38" s="200"/>
      <c r="T38" s="200"/>
      <c r="U38" s="200"/>
      <c r="V38" s="3"/>
      <c r="W38" s="3"/>
      <c r="X38" s="200" t="str" cm="1">
        <f t="array" aca="1" ref="X38" ca="1">INDEX(Helper!$E$13:$E$22, OFFSET(Helper!$J$13,$B38,X$2))</f>
        <v>90 CCW</v>
      </c>
      <c r="Y38" s="200"/>
      <c r="Z38" s="200"/>
      <c r="AA38" s="200"/>
      <c r="AB38" s="200"/>
      <c r="AC38" s="3"/>
      <c r="AD38" s="3"/>
      <c r="AE38" s="200" t="str" cm="1">
        <f t="array" aca="1" ref="AE38" ca="1">INDEX(Helper!$E$13:$E$22, OFFSET(Helper!$J$13,$B38,AE$2))</f>
        <v>Noise</v>
      </c>
      <c r="AF38" s="200"/>
      <c r="AG38" s="200"/>
      <c r="AH38" s="200"/>
      <c r="AI38" s="200"/>
      <c r="AJ38" s="3"/>
      <c r="AK38" s="3"/>
      <c r="AL38" s="200" t="str" cm="1">
        <f t="array" aca="1" ref="AL38" ca="1">INDEX(Helper!$E$13:$E$22, OFFSET(Helper!$J$13,$B38,AL$2))</f>
        <v>Horizontal Flip</v>
      </c>
      <c r="AM38" s="200"/>
      <c r="AN38" s="200"/>
      <c r="AO38" s="200"/>
      <c r="AP38" s="200"/>
      <c r="AQ38" s="3"/>
      <c r="AR38" s="3"/>
      <c r="AS38" s="200" t="str" cm="1">
        <f t="array" aca="1" ref="AS38" ca="1">INDEX(Helper!$E$13:$E$22, OFFSET(Helper!$J$13,$B38,AS$2))</f>
        <v>180 Rotation</v>
      </c>
      <c r="AT38" s="200"/>
      <c r="AU38" s="200"/>
      <c r="AV38" s="200"/>
      <c r="AW38" s="200"/>
      <c r="AX38" s="3"/>
      <c r="AY38" s="3"/>
      <c r="AZ38" s="200" t="str" cm="1">
        <f t="array" aca="1" ref="AZ38" ca="1">INDEX(Helper!$E$13:$E$22, OFFSET(Helper!$J$13,$B38,AZ$2))</f>
        <v>Shift Left</v>
      </c>
      <c r="BA38" s="200"/>
      <c r="BB38" s="200"/>
      <c r="BC38" s="200"/>
      <c r="BD38" s="200"/>
      <c r="BE38" s="3"/>
      <c r="BG38" s="200" t="str" cm="1">
        <f t="array" aca="1" ref="BG38" ca="1">INDEX(Helper!$E$13:$E$22, OFFSET(Helper!$J$13,$B38,BG$2))</f>
        <v>Shift Up</v>
      </c>
      <c r="BH38" s="200"/>
      <c r="BI38" s="200"/>
      <c r="BJ38" s="200"/>
      <c r="BK38" s="200"/>
      <c r="BL38" s="3"/>
      <c r="BM38" s="3"/>
      <c r="BN38" s="200" t="str" cm="1">
        <f t="array" aca="1" ref="BN38" ca="1">INDEX(Helper!$E$13:$E$22, OFFSET(Helper!$J$13,$B38,BN$2))</f>
        <v>90 CW</v>
      </c>
      <c r="BO38" s="200"/>
      <c r="BP38" s="200"/>
      <c r="BQ38" s="200"/>
      <c r="BR38" s="200"/>
      <c r="BS38" s="3"/>
      <c r="BU38" s="200" t="str" cm="1">
        <f t="array" aca="1" ref="BU38" ca="1">INDEX(Helper!$E$13:$E$22, OFFSET(Helper!$J$13,$B38,BU$2))</f>
        <v>Shift Right</v>
      </c>
      <c r="BV38" s="200"/>
      <c r="BW38" s="200"/>
      <c r="BX38" s="200"/>
      <c r="BY38" s="200"/>
      <c r="CA38" s="29"/>
    </row>
    <row r="39" spans="1:79" s="1" customFormat="1" ht="18" customHeight="1" x14ac:dyDescent="0.2">
      <c r="A39" s="7"/>
      <c r="B39" s="202"/>
      <c r="C39" s="4">
        <v>0.60426402558797665</v>
      </c>
      <c r="D39" s="5">
        <v>1</v>
      </c>
      <c r="E39" s="5">
        <v>1</v>
      </c>
      <c r="F39" s="5">
        <v>1</v>
      </c>
      <c r="G39" s="6">
        <v>0.23057421397337907</v>
      </c>
      <c r="H39" s="3"/>
      <c r="I39" s="3"/>
      <c r="J39" s="4" cm="1">
        <f t="array" aca="1" ref="J39:N43" ca="1">_xlfn.IFS(J38="None",  $C39:$G43*0,           J38="Horizontal Flip", INDEX($C39:$G43, _xlfn.SEQUENCE(5), 6 - _xlfn.SEQUENCE(1,5)),        J38="Vertical Flip", INDEX($C39:$G43, 6 - _xlfn.SEQUENCE(5), _xlfn.SEQUENCE(1,5)),      J38="180 Rotation", INDEX($C39:$G43, 6 - _xlfn.SEQUENCE(5), 6 - _xlfn.SEQUENCE(1,5)),        J38="90 CW", INDEX($C39:$G43, 6 - _xlfn.SEQUENCE(1,5), _xlfn.SEQUENCE(5)),          J38="90 CCW", INDEX($C39:$G43, _xlfn.SEQUENCE(1,5), 6 - _xlfn.SEQUENCE(5)),         J38="Shift Up", IF(_xlfn.SEQUENCE(5)+1&lt;=5, INDEX($C39:$G43, _xlfn.SEQUENCE(5)+1, _xlfn.SEQUENCE(1,5)), 0),         J38="Shift Down", IF(_xlfn.SEQUENCE(5)-1&gt;=1, INDEX($C39:$G43, _xlfn.SEQUENCE(5)-1, _xlfn.SEQUENCE(1,5)), 0),         J38="Shift Left",   IF(_xlfn.SEQUENCE(1,5)+1&lt;=5, INDEX($C39:$G43, _xlfn.SEQUENCE(5), _xlfn.SEQUENCE(1,5)+1),0),         J38= "Shift Right",  IF(_xlfn.SEQUENCE(1,5)-1&gt;=1, INDEX($C39:$G43, _xlfn.SEQUENCE(5), _xlfn.SEQUENCE(1,5)-1), 0),        J38="Noise",  _xlfn.MAP($C39:$G43 + (_xlfn.RANDARRAY(ROWS($C39:$G43), COLUMNS($C39:$G43)) - 0.5) * 0.4, _xlfn.LAMBDA(_xlpm.x, MAX(0, MIN(1, _xlpm.x)))))</f>
        <v>0</v>
      </c>
      <c r="K39" s="5">
        <f ca="1"/>
        <v>0</v>
      </c>
      <c r="L39" s="5">
        <f ca="1"/>
        <v>0</v>
      </c>
      <c r="M39" s="5">
        <f ca="1"/>
        <v>0</v>
      </c>
      <c r="N39" s="6">
        <f ca="1"/>
        <v>0</v>
      </c>
      <c r="O39" s="3"/>
      <c r="P39" s="3"/>
      <c r="Q39" s="4" cm="1">
        <f t="array" aca="1" ref="Q39:U43" ca="1">_xlfn.IFS(Q38="None",  $C39:$G43*0,           Q38="Horizontal Flip", INDEX($C39:$G43, _xlfn.SEQUENCE(5), 6 - _xlfn.SEQUENCE(1,5)),        Q38="Vertical Flip", INDEX($C39:$G43, 6 - _xlfn.SEQUENCE(5), _xlfn.SEQUENCE(1,5)),      Q38="180 Rotation", INDEX($C39:$G43, 6 - _xlfn.SEQUENCE(5), 6 - _xlfn.SEQUENCE(1,5)),        Q38="90 CW", INDEX($C39:$G43, 6 - _xlfn.SEQUENCE(1,5), _xlfn.SEQUENCE(5)),          Q38="90 CCW", INDEX($C39:$G43, _xlfn.SEQUENCE(1,5), 6 - _xlfn.SEQUENCE(5)),         Q38="Shift Up", IF(_xlfn.SEQUENCE(5)+1&lt;=5, INDEX($C39:$G43, _xlfn.SEQUENCE(5)+1, _xlfn.SEQUENCE(1,5)), 0),         Q38="Shift Down", IF(_xlfn.SEQUENCE(5)-1&gt;=1, INDEX($C39:$G43, _xlfn.SEQUENCE(5)-1, _xlfn.SEQUENCE(1,5)), 0),         Q38="Shift Left",   IF(_xlfn.SEQUENCE(1,5)+1&lt;=5, INDEX($C39:$G43, _xlfn.SEQUENCE(5), _xlfn.SEQUENCE(1,5)+1),0),         Q38= "Shift Right",  IF(_xlfn.SEQUENCE(1,5)-1&gt;=1, INDEX($C39:$G43, _xlfn.SEQUENCE(5), _xlfn.SEQUENCE(1,5)-1), 0),        Q38="Noise",  _xlfn.MAP($C39:$G43 + (_xlfn.RANDARRAY(ROWS($C39:$G43), COLUMNS($C39:$G43)) - 0.5) * 0.4, _xlfn.LAMBDA(_xlpm.x, MAX(0, MIN(1, _xlpm.x)))))</f>
        <v>0.52047149067672216</v>
      </c>
      <c r="R39" s="5">
        <f ca="1"/>
        <v>1</v>
      </c>
      <c r="S39" s="5">
        <f ca="1"/>
        <v>1</v>
      </c>
      <c r="T39" s="5">
        <f ca="1"/>
        <v>1</v>
      </c>
      <c r="U39" s="6">
        <f ca="1"/>
        <v>0.45070920851494067</v>
      </c>
      <c r="V39" s="3"/>
      <c r="W39" s="3"/>
      <c r="X39" s="4" cm="1">
        <f t="array" aca="1" ref="X39:AB43" ca="1">_xlfn.IFS(X38="None",  $C39:$G43*0,           X38="Horizontal Flip", INDEX($C39:$G43, _xlfn.SEQUENCE(5), 6 - _xlfn.SEQUENCE(1,5)),        X38="Vertical Flip", INDEX($C39:$G43, 6 - _xlfn.SEQUENCE(5), _xlfn.SEQUENCE(1,5)),      X38="180 Rotation", INDEX($C39:$G43, 6 - _xlfn.SEQUENCE(5), 6 - _xlfn.SEQUENCE(1,5)),        X38="90 CW", INDEX($C39:$G43, 6 - _xlfn.SEQUENCE(1,5), _xlfn.SEQUENCE(5)),          X38="90 CCW", INDEX($C39:$G43, _xlfn.SEQUENCE(1,5), 6 - _xlfn.SEQUENCE(5)),         X38="Shift Up", IF(_xlfn.SEQUENCE(5)+1&lt;=5, INDEX($C39:$G43, _xlfn.SEQUENCE(5)+1, _xlfn.SEQUENCE(1,5)), 0),         X38="Shift Down", IF(_xlfn.SEQUENCE(5)-1&gt;=1, INDEX($C39:$G43, _xlfn.SEQUENCE(5)-1, _xlfn.SEQUENCE(1,5)), 0),         X38="Shift Left",   IF(_xlfn.SEQUENCE(1,5)+1&lt;=5, INDEX($C39:$G43, _xlfn.SEQUENCE(5), _xlfn.SEQUENCE(1,5)+1),0),         X38= "Shift Right",  IF(_xlfn.SEQUENCE(1,5)-1&gt;=1, INDEX($C39:$G43, _xlfn.SEQUENCE(5), _xlfn.SEQUENCE(1,5)-1), 0),        X38="Noise",  _xlfn.MAP($C39:$G43 + (_xlfn.RANDARRAY(ROWS($C39:$G43), COLUMNS($C39:$G43)) - 0.5) * 0.4, _xlfn.LAMBDA(_xlpm.x, MAX(0, MIN(1, _xlpm.x)))))</f>
        <v>0.23057421397337907</v>
      </c>
      <c r="Y39" s="5">
        <f ca="1"/>
        <v>0.51323825156367442</v>
      </c>
      <c r="Z39" s="5">
        <f ca="1"/>
        <v>0.36518621467424861</v>
      </c>
      <c r="AA39" s="5">
        <f ca="1"/>
        <v>0.43833469537172365</v>
      </c>
      <c r="AB39" s="6">
        <f ca="1"/>
        <v>0.45070920851494067</v>
      </c>
      <c r="AC39" s="3"/>
      <c r="AD39" s="3"/>
      <c r="AE39" s="4" cm="1">
        <f t="array" aca="1" ref="AE39:AI43" ca="1">_xlfn.IFS(AE38="None",  $C39:$G43*0,           AE38="Horizontal Flip", INDEX($C39:$G43, _xlfn.SEQUENCE(5), 6 - _xlfn.SEQUENCE(1,5)),        AE38="Vertical Flip", INDEX($C39:$G43, 6 - _xlfn.SEQUENCE(5), _xlfn.SEQUENCE(1,5)),      AE38="180 Rotation", INDEX($C39:$G43, 6 - _xlfn.SEQUENCE(5), 6 - _xlfn.SEQUENCE(1,5)),        AE38="90 CW", INDEX($C39:$G43, 6 - _xlfn.SEQUENCE(1,5), _xlfn.SEQUENCE(5)),          AE38="90 CCW", INDEX($C39:$G43, _xlfn.SEQUENCE(1,5), 6 - _xlfn.SEQUENCE(5)),         AE38="Shift Up", IF(_xlfn.SEQUENCE(5)+1&lt;=5, INDEX($C39:$G43, _xlfn.SEQUENCE(5)+1, _xlfn.SEQUENCE(1,5)), 0),         AE38="Shift Down", IF(_xlfn.SEQUENCE(5)-1&gt;=1, INDEX($C39:$G43, _xlfn.SEQUENCE(5)-1, _xlfn.SEQUENCE(1,5)), 0),         AE38="Shift Left",   IF(_xlfn.SEQUENCE(1,5)+1&lt;=5, INDEX($C39:$G43, _xlfn.SEQUENCE(5), _xlfn.SEQUENCE(1,5)+1),0),         AE38= "Shift Right",  IF(_xlfn.SEQUENCE(1,5)-1&gt;=1, INDEX($C39:$G43, _xlfn.SEQUENCE(5), _xlfn.SEQUENCE(1,5)-1), 0),        AE38="Noise",  _xlfn.MAP($C39:$G43 + (_xlfn.RANDARRAY(ROWS($C39:$G43), COLUMNS($C39:$G43)) - 0.5) * 0.4, _xlfn.LAMBDA(_xlpm.x, MAX(0, MIN(1, _xlpm.x)))))</f>
        <v>0.53704922689608037</v>
      </c>
      <c r="AF39" s="5">
        <f ca="1"/>
        <v>1</v>
      </c>
      <c r="AG39" s="5">
        <f ca="1"/>
        <v>1</v>
      </c>
      <c r="AH39" s="5">
        <f ca="1"/>
        <v>0.88155072645306698</v>
      </c>
      <c r="AI39" s="6">
        <f ca="1"/>
        <v>0.31014801044803231</v>
      </c>
      <c r="AJ39" s="3"/>
      <c r="AK39" s="3"/>
      <c r="AL39" s="4" cm="1">
        <f t="array" aca="1" ref="AL39:AP43" ca="1">_xlfn.IFS(AL38="None",  $C39:$G43*0,           AL38="Horizontal Flip", INDEX($C39:$G43, _xlfn.SEQUENCE(5), 6 - _xlfn.SEQUENCE(1,5)),        AL38="Vertical Flip", INDEX($C39:$G43, 6 - _xlfn.SEQUENCE(5), _xlfn.SEQUENCE(1,5)),      AL38="180 Rotation", INDEX($C39:$G43, 6 - _xlfn.SEQUENCE(5), 6 - _xlfn.SEQUENCE(1,5)),        AL38="90 CW", INDEX($C39:$G43, 6 - _xlfn.SEQUENCE(1,5), _xlfn.SEQUENCE(5)),          AL38="90 CCW", INDEX($C39:$G43, _xlfn.SEQUENCE(1,5), 6 - _xlfn.SEQUENCE(5)),         AL38="Shift Up", IF(_xlfn.SEQUENCE(5)+1&lt;=5, INDEX($C39:$G43, _xlfn.SEQUENCE(5)+1, _xlfn.SEQUENCE(1,5)), 0),         AL38="Shift Down", IF(_xlfn.SEQUENCE(5)-1&gt;=1, INDEX($C39:$G43, _xlfn.SEQUENCE(5)-1, _xlfn.SEQUENCE(1,5)), 0),         AL38="Shift Left",   IF(_xlfn.SEQUENCE(1,5)+1&lt;=5, INDEX($C39:$G43, _xlfn.SEQUENCE(5), _xlfn.SEQUENCE(1,5)+1),0),         AL38= "Shift Right",  IF(_xlfn.SEQUENCE(1,5)-1&gt;=1, INDEX($C39:$G43, _xlfn.SEQUENCE(5), _xlfn.SEQUENCE(1,5)-1), 0),        AL38="Noise",  _xlfn.MAP($C39:$G43 + (_xlfn.RANDARRAY(ROWS($C39:$G43), COLUMNS($C39:$G43)) - 0.5) * 0.4, _xlfn.LAMBDA(_xlpm.x, MAX(0, MIN(1, _xlpm.x)))))</f>
        <v>0.23057421397337907</v>
      </c>
      <c r="AM39" s="5">
        <f ca="1"/>
        <v>1</v>
      </c>
      <c r="AN39" s="5">
        <f ca="1"/>
        <v>1</v>
      </c>
      <c r="AO39" s="5">
        <f ca="1"/>
        <v>1</v>
      </c>
      <c r="AP39" s="6">
        <f ca="1"/>
        <v>0.60426402558797665</v>
      </c>
      <c r="AQ39" s="3"/>
      <c r="AR39" s="3"/>
      <c r="AS39" s="4" cm="1">
        <f t="array" aca="1" ref="AS39:AW43" ca="1">_xlfn.IFS(AS38="None",  $C39:$G43*0,           AS38="Horizontal Flip", INDEX($C39:$G43, _xlfn.SEQUENCE(5), 6 - _xlfn.SEQUENCE(1,5)),        AS38="Vertical Flip", INDEX($C39:$G43, 6 - _xlfn.SEQUENCE(5), _xlfn.SEQUENCE(1,5)),      AS38="180 Rotation", INDEX($C39:$G43, 6 - _xlfn.SEQUENCE(5), 6 - _xlfn.SEQUENCE(1,5)),        AS38="90 CW", INDEX($C39:$G43, 6 - _xlfn.SEQUENCE(1,5), _xlfn.SEQUENCE(5)),          AS38="90 CCW", INDEX($C39:$G43, _xlfn.SEQUENCE(1,5), 6 - _xlfn.SEQUENCE(5)),         AS38="Shift Up", IF(_xlfn.SEQUENCE(5)+1&lt;=5, INDEX($C39:$G43, _xlfn.SEQUENCE(5)+1, _xlfn.SEQUENCE(1,5)), 0),         AS38="Shift Down", IF(_xlfn.SEQUENCE(5)-1&gt;=1, INDEX($C39:$G43, _xlfn.SEQUENCE(5)-1, _xlfn.SEQUENCE(1,5)), 0),         AS38="Shift Left",   IF(_xlfn.SEQUENCE(1,5)+1&lt;=5, INDEX($C39:$G43, _xlfn.SEQUENCE(5), _xlfn.SEQUENCE(1,5)+1),0),         AS38= "Shift Right",  IF(_xlfn.SEQUENCE(1,5)-1&gt;=1, INDEX($C39:$G43, _xlfn.SEQUENCE(5), _xlfn.SEQUENCE(1,5)-1), 0),        AS38="Noise",  _xlfn.MAP($C39:$G43 + (_xlfn.RANDARRAY(ROWS($C39:$G43), COLUMNS($C39:$G43)) - 0.5) * 0.4, _xlfn.LAMBDA(_xlpm.x, MAX(0, MIN(1, _xlpm.x)))))</f>
        <v>0.45070920851494067</v>
      </c>
      <c r="AT39" s="5">
        <f ca="1"/>
        <v>1</v>
      </c>
      <c r="AU39" s="5">
        <f ca="1"/>
        <v>1</v>
      </c>
      <c r="AV39" s="5">
        <f ca="1"/>
        <v>1</v>
      </c>
      <c r="AW39" s="6">
        <f ca="1"/>
        <v>0.52047149067672216</v>
      </c>
      <c r="AX39" s="3"/>
      <c r="AY39" s="3"/>
      <c r="AZ39" s="4" cm="1">
        <f t="array" aca="1" ref="AZ39:BD43" ca="1">_xlfn.IFS(AZ38="None",  $C39:$G43*0,           AZ38="Horizontal Flip", INDEX($C39:$G43, _xlfn.SEQUENCE(5), 6 - _xlfn.SEQUENCE(1,5)),        AZ38="Vertical Flip", INDEX($C39:$G43, 6 - _xlfn.SEQUENCE(5), _xlfn.SEQUENCE(1,5)),      AZ38="180 Rotation", INDEX($C39:$G43, 6 - _xlfn.SEQUENCE(5), 6 - _xlfn.SEQUENCE(1,5)),        AZ38="90 CW", INDEX($C39:$G43, 6 - _xlfn.SEQUENCE(1,5), _xlfn.SEQUENCE(5)),          AZ38="90 CCW", INDEX($C39:$G43, _xlfn.SEQUENCE(1,5), 6 - _xlfn.SEQUENCE(5)),         AZ38="Shift Up", IF(_xlfn.SEQUENCE(5)+1&lt;=5, INDEX($C39:$G43, _xlfn.SEQUENCE(5)+1, _xlfn.SEQUENCE(1,5)), 0),         AZ38="Shift Down", IF(_xlfn.SEQUENCE(5)-1&gt;=1, INDEX($C39:$G43, _xlfn.SEQUENCE(5)-1, _xlfn.SEQUENCE(1,5)), 0),         AZ38="Shift Left",   IF(_xlfn.SEQUENCE(1,5)+1&lt;=5, INDEX($C39:$G43, _xlfn.SEQUENCE(5), _xlfn.SEQUENCE(1,5)+1),0),         AZ38= "Shift Right",  IF(_xlfn.SEQUENCE(1,5)-1&gt;=1, INDEX($C39:$G43, _xlfn.SEQUENCE(5), _xlfn.SEQUENCE(1,5)-1), 0),        AZ38="Noise",  _xlfn.MAP($C39:$G43 + (_xlfn.RANDARRAY(ROWS($C39:$G43), COLUMNS($C39:$G43)) - 0.5) * 0.4, _xlfn.LAMBDA(_xlpm.x, MAX(0, MIN(1, _xlpm.x)))))</f>
        <v>1</v>
      </c>
      <c r="BA39" s="5">
        <f ca="1"/>
        <v>1</v>
      </c>
      <c r="BB39" s="5">
        <f ca="1"/>
        <v>1</v>
      </c>
      <c r="BC39" s="5">
        <f ca="1"/>
        <v>0.23057421397337907</v>
      </c>
      <c r="BD39" s="6">
        <f ca="1"/>
        <v>0</v>
      </c>
      <c r="BE39" s="3"/>
      <c r="BG39" s="4" cm="1">
        <f t="array" aca="1" ref="BG39:BK43" ca="1">_xlfn.IFS(BG38="None",  $C39:$G43*0,           BG38="Horizontal Flip", INDEX($C39:$G43, _xlfn.SEQUENCE(5), 6 - _xlfn.SEQUENCE(1,5)),        BG38="Vertical Flip", INDEX($C39:$G43, 6 - _xlfn.SEQUENCE(5), _xlfn.SEQUENCE(1,5)),      BG38="180 Rotation", INDEX($C39:$G43, 6 - _xlfn.SEQUENCE(5), 6 - _xlfn.SEQUENCE(1,5)),        BG38="90 CW", INDEX($C39:$G43, 6 - _xlfn.SEQUENCE(1,5), _xlfn.SEQUENCE(5)),          BG38="90 CCW", INDEX($C39:$G43, _xlfn.SEQUENCE(1,5), 6 - _xlfn.SEQUENCE(5)),         BG38="Shift Up", IF(_xlfn.SEQUENCE(5)+1&lt;=5, INDEX($C39:$G43, _xlfn.SEQUENCE(5)+1, _xlfn.SEQUENCE(1,5)), 0),         BG38="Shift Down", IF(_xlfn.SEQUENCE(5)-1&gt;=1, INDEX($C39:$G43, _xlfn.SEQUENCE(5)-1, _xlfn.SEQUENCE(1,5)), 0),         BG38="Shift Left",   IF(_xlfn.SEQUENCE(1,5)+1&lt;=5, INDEX($C39:$G43, _xlfn.SEQUENCE(5), _xlfn.SEQUENCE(1,5)+1),0),         BG38= "Shift Right",  IF(_xlfn.SEQUENCE(1,5)-1&gt;=1, INDEX($C39:$G43, _xlfn.SEQUENCE(5), _xlfn.SEQUENCE(1,5)-1), 0),        BG38="Noise",  _xlfn.MAP($C39:$G43 + (_xlfn.RANDARRAY(ROWS($C39:$G43), COLUMNS($C39:$G43)) - 0.5) * 0.4, _xlfn.LAMBDA(_xlpm.x, MAX(0, MIN(1, _xlpm.x)))))</f>
        <v>0.15814065272525224</v>
      </c>
      <c r="BH39" s="5">
        <f ca="1"/>
        <v>1</v>
      </c>
      <c r="BI39" s="5">
        <f ca="1"/>
        <v>0.19063535018698208</v>
      </c>
      <c r="BJ39" s="5">
        <f ca="1"/>
        <v>0.34958417480323833</v>
      </c>
      <c r="BK39" s="6">
        <f ca="1"/>
        <v>0.51323825156367442</v>
      </c>
      <c r="BL39" s="3"/>
      <c r="BM39" s="3"/>
      <c r="BN39" s="4" cm="1">
        <f t="array" aca="1" ref="BN39:BR43" ca="1">_xlfn.IFS(BN38="None",  $C39:$G43*0,           BN38="Horizontal Flip", INDEX($C39:$G43, _xlfn.SEQUENCE(5), 6 - _xlfn.SEQUENCE(1,5)),        BN38="Vertical Flip", INDEX($C39:$G43, 6 - _xlfn.SEQUENCE(5), _xlfn.SEQUENCE(1,5)),      BN38="180 Rotation", INDEX($C39:$G43, 6 - _xlfn.SEQUENCE(5), 6 - _xlfn.SEQUENCE(1,5)),        BN38="90 CW", INDEX($C39:$G43, 6 - _xlfn.SEQUENCE(1,5), _xlfn.SEQUENCE(5)),          BN38="90 CCW", INDEX($C39:$G43, _xlfn.SEQUENCE(1,5), 6 - _xlfn.SEQUENCE(5)),         BN38="Shift Up", IF(_xlfn.SEQUENCE(5)+1&lt;=5, INDEX($C39:$G43, _xlfn.SEQUENCE(5)+1, _xlfn.SEQUENCE(1,5)), 0),         BN38="Shift Down", IF(_xlfn.SEQUENCE(5)-1&gt;=1, INDEX($C39:$G43, _xlfn.SEQUENCE(5)-1, _xlfn.SEQUENCE(1,5)), 0),         BN38="Shift Left",   IF(_xlfn.SEQUENCE(1,5)+1&lt;=5, INDEX($C39:$G43, _xlfn.SEQUENCE(5), _xlfn.SEQUENCE(1,5)+1),0),         BN38= "Shift Right",  IF(_xlfn.SEQUENCE(1,5)-1&gt;=1, INDEX($C39:$G43, _xlfn.SEQUENCE(5), _xlfn.SEQUENCE(1,5)-1), 0),        BN38="Noise",  _xlfn.MAP($C39:$G43 + (_xlfn.RANDARRAY(ROWS($C39:$G43), COLUMNS($C39:$G43)) - 0.5) * 0.4, _xlfn.LAMBDA(_xlpm.x, MAX(0, MIN(1, _xlpm.x)))))</f>
        <v>0.52047149067672216</v>
      </c>
      <c r="BO39" s="5">
        <f ca="1"/>
        <v>0.54181176279372867</v>
      </c>
      <c r="BP39" s="5">
        <f ca="1"/>
        <v>0.26963243053853292</v>
      </c>
      <c r="BQ39" s="5">
        <f ca="1"/>
        <v>0.15814065272525224</v>
      </c>
      <c r="BR39" s="6">
        <f ca="1"/>
        <v>0.60426402558797665</v>
      </c>
      <c r="BS39" s="3"/>
      <c r="BU39" s="4" cm="1">
        <f t="array" aca="1" ref="BU39:BY43" ca="1">_xlfn.IFS(BU38="None",  $C39:$G43*0,           BU38="Horizontal Flip", INDEX($C39:$G43, _xlfn.SEQUENCE(5), 6 - _xlfn.SEQUENCE(1,5)),        BU38="Vertical Flip", INDEX($C39:$G43, 6 - _xlfn.SEQUENCE(5), _xlfn.SEQUENCE(1,5)),      BU38="180 Rotation", INDEX($C39:$G43, 6 - _xlfn.SEQUENCE(5), 6 - _xlfn.SEQUENCE(1,5)),        BU38="90 CW", INDEX($C39:$G43, 6 - _xlfn.SEQUENCE(1,5), _xlfn.SEQUENCE(5)),          BU38="90 CCW", INDEX($C39:$G43, _xlfn.SEQUENCE(1,5), 6 - _xlfn.SEQUENCE(5)),         BU38="Shift Up", IF(_xlfn.SEQUENCE(5)+1&lt;=5, INDEX($C39:$G43, _xlfn.SEQUENCE(5)+1, _xlfn.SEQUENCE(1,5)), 0),         BU38="Shift Down", IF(_xlfn.SEQUENCE(5)-1&gt;=1, INDEX($C39:$G43, _xlfn.SEQUENCE(5)-1, _xlfn.SEQUENCE(1,5)), 0),         BU38="Shift Left",   IF(_xlfn.SEQUENCE(1,5)+1&lt;=5, INDEX($C39:$G43, _xlfn.SEQUENCE(5), _xlfn.SEQUENCE(1,5)+1),0),         BU38= "Shift Right",  IF(_xlfn.SEQUENCE(1,5)-1&gt;=1, INDEX($C39:$G43, _xlfn.SEQUENCE(5), _xlfn.SEQUENCE(1,5)-1), 0),        BU38="Noise",  _xlfn.MAP($C39:$G43 + (_xlfn.RANDARRAY(ROWS($C39:$G43), COLUMNS($C39:$G43)) - 0.5) * 0.4, _xlfn.LAMBDA(_xlpm.x, MAX(0, MIN(1, _xlpm.x)))))</f>
        <v>0</v>
      </c>
      <c r="BV39" s="5">
        <f ca="1"/>
        <v>0.60426402558797665</v>
      </c>
      <c r="BW39" s="5">
        <f ca="1"/>
        <v>1</v>
      </c>
      <c r="BX39" s="5">
        <f ca="1"/>
        <v>1</v>
      </c>
      <c r="BY39" s="6">
        <f ca="1"/>
        <v>1</v>
      </c>
      <c r="CA39" s="29"/>
    </row>
    <row r="40" spans="1:79" s="1" customFormat="1" ht="18" customHeight="1" x14ac:dyDescent="0.2">
      <c r="A40" s="7"/>
      <c r="B40" s="202"/>
      <c r="C40" s="7">
        <v>0.15814065272525224</v>
      </c>
      <c r="D40" s="3">
        <v>1</v>
      </c>
      <c r="E40" s="3">
        <v>0.19063535018698208</v>
      </c>
      <c r="F40" s="3">
        <v>0.34958417480323833</v>
      </c>
      <c r="G40" s="8">
        <v>0.51323825156367442</v>
      </c>
      <c r="H40" s="3"/>
      <c r="I40" s="3"/>
      <c r="J40" s="7">
        <f ca="1"/>
        <v>0.60426402558797665</v>
      </c>
      <c r="K40" s="3">
        <f ca="1"/>
        <v>1</v>
      </c>
      <c r="L40" s="3">
        <f ca="1"/>
        <v>1</v>
      </c>
      <c r="M40" s="3">
        <f ca="1"/>
        <v>1</v>
      </c>
      <c r="N40" s="8">
        <f ca="1"/>
        <v>0.23057421397337907</v>
      </c>
      <c r="O40" s="3"/>
      <c r="P40" s="3"/>
      <c r="Q40" s="7">
        <f ca="1"/>
        <v>0.54181176279372867</v>
      </c>
      <c r="R40" s="3">
        <f ca="1"/>
        <v>0.51168128563951576</v>
      </c>
      <c r="S40" s="3">
        <f ca="1"/>
        <v>0.29391519553277146</v>
      </c>
      <c r="T40" s="3">
        <f ca="1"/>
        <v>1</v>
      </c>
      <c r="U40" s="8">
        <f ca="1"/>
        <v>0.43833469537172365</v>
      </c>
      <c r="V40" s="3"/>
      <c r="W40" s="3"/>
      <c r="X40" s="7">
        <f ca="1"/>
        <v>1</v>
      </c>
      <c r="Y40" s="3">
        <f ca="1"/>
        <v>0.34958417480323833</v>
      </c>
      <c r="Z40" s="3">
        <f ca="1"/>
        <v>1</v>
      </c>
      <c r="AA40" s="3">
        <f ca="1"/>
        <v>1</v>
      </c>
      <c r="AB40" s="8">
        <f ca="1"/>
        <v>1</v>
      </c>
      <c r="AC40" s="3"/>
      <c r="AD40" s="3"/>
      <c r="AE40" s="7">
        <f ca="1"/>
        <v>7.0574388817831887E-2</v>
      </c>
      <c r="AF40" s="3">
        <f ca="1"/>
        <v>0.93960885646533288</v>
      </c>
      <c r="AG40" s="3">
        <f ca="1"/>
        <v>0.35120625096222824</v>
      </c>
      <c r="AH40" s="3">
        <f ca="1"/>
        <v>0.42692978887583455</v>
      </c>
      <c r="AI40" s="8">
        <f ca="1"/>
        <v>0.54025710414212424</v>
      </c>
      <c r="AJ40" s="3"/>
      <c r="AK40" s="3"/>
      <c r="AL40" s="7">
        <f ca="1"/>
        <v>0.51323825156367442</v>
      </c>
      <c r="AM40" s="3">
        <f ca="1"/>
        <v>0.34958417480323833</v>
      </c>
      <c r="AN40" s="3">
        <f ca="1"/>
        <v>0.19063535018698208</v>
      </c>
      <c r="AO40" s="3">
        <f ca="1"/>
        <v>1</v>
      </c>
      <c r="AP40" s="8">
        <f ca="1"/>
        <v>0.15814065272525224</v>
      </c>
      <c r="AQ40" s="3"/>
      <c r="AR40" s="3"/>
      <c r="AS40" s="7">
        <f ca="1"/>
        <v>0.43833469537172365</v>
      </c>
      <c r="AT40" s="3">
        <f ca="1"/>
        <v>1</v>
      </c>
      <c r="AU40" s="3">
        <f ca="1"/>
        <v>0.29391519553277146</v>
      </c>
      <c r="AV40" s="3">
        <f ca="1"/>
        <v>0.51168128563951576</v>
      </c>
      <c r="AW40" s="8">
        <f ca="1"/>
        <v>0.54181176279372867</v>
      </c>
      <c r="AX40" s="3"/>
      <c r="AY40" s="3"/>
      <c r="AZ40" s="7">
        <f ca="1"/>
        <v>1</v>
      </c>
      <c r="BA40" s="3">
        <f ca="1"/>
        <v>0.19063535018698208</v>
      </c>
      <c r="BB40" s="3">
        <f ca="1"/>
        <v>0.34958417480323833</v>
      </c>
      <c r="BC40" s="3">
        <f ca="1"/>
        <v>0.51323825156367442</v>
      </c>
      <c r="BD40" s="8">
        <f ca="1"/>
        <v>0</v>
      </c>
      <c r="BE40" s="3"/>
      <c r="BG40" s="7">
        <f ca="1"/>
        <v>0.26963243053853292</v>
      </c>
      <c r="BH40" s="3">
        <f ca="1"/>
        <v>1</v>
      </c>
      <c r="BI40" s="3">
        <f ca="1"/>
        <v>1</v>
      </c>
      <c r="BJ40" s="3">
        <f ca="1"/>
        <v>1</v>
      </c>
      <c r="BK40" s="8">
        <f ca="1"/>
        <v>0.36518621467424861</v>
      </c>
      <c r="BL40" s="3"/>
      <c r="BM40" s="3"/>
      <c r="BN40" s="7">
        <f ca="1"/>
        <v>1</v>
      </c>
      <c r="BO40" s="3">
        <f ca="1"/>
        <v>0.51168128563951576</v>
      </c>
      <c r="BP40" s="3">
        <f ca="1"/>
        <v>1</v>
      </c>
      <c r="BQ40" s="3">
        <f ca="1"/>
        <v>1</v>
      </c>
      <c r="BR40" s="8">
        <f ca="1"/>
        <v>1</v>
      </c>
      <c r="BS40" s="3"/>
      <c r="BU40" s="7">
        <f ca="1"/>
        <v>0</v>
      </c>
      <c r="BV40" s="3">
        <f ca="1"/>
        <v>0.15814065272525224</v>
      </c>
      <c r="BW40" s="3">
        <f ca="1"/>
        <v>1</v>
      </c>
      <c r="BX40" s="3">
        <f ca="1"/>
        <v>0.19063535018698208</v>
      </c>
      <c r="BY40" s="8">
        <f ca="1"/>
        <v>0.34958417480323833</v>
      </c>
      <c r="CA40" s="29"/>
    </row>
    <row r="41" spans="1:79" s="1" customFormat="1" ht="18" customHeight="1" x14ac:dyDescent="0.2">
      <c r="A41" s="7"/>
      <c r="B41" s="202"/>
      <c r="C41" s="7">
        <v>0.26963243053853292</v>
      </c>
      <c r="D41" s="3">
        <v>1</v>
      </c>
      <c r="E41" s="3">
        <v>1</v>
      </c>
      <c r="F41" s="3">
        <v>1</v>
      </c>
      <c r="G41" s="8">
        <v>0.36518621467424861</v>
      </c>
      <c r="H41" s="3"/>
      <c r="I41" s="3"/>
      <c r="J41" s="7">
        <f ca="1"/>
        <v>0.15814065272525224</v>
      </c>
      <c r="K41" s="3">
        <f ca="1"/>
        <v>1</v>
      </c>
      <c r="L41" s="3">
        <f ca="1"/>
        <v>0.19063535018698208</v>
      </c>
      <c r="M41" s="3">
        <f ca="1"/>
        <v>0.34958417480323833</v>
      </c>
      <c r="N41" s="8">
        <f ca="1"/>
        <v>0.51323825156367442</v>
      </c>
      <c r="O41" s="3"/>
      <c r="P41" s="3"/>
      <c r="Q41" s="7">
        <f ca="1"/>
        <v>0.26963243053853292</v>
      </c>
      <c r="R41" s="3">
        <f ca="1"/>
        <v>1</v>
      </c>
      <c r="S41" s="3">
        <f ca="1"/>
        <v>1</v>
      </c>
      <c r="T41" s="3">
        <f ca="1"/>
        <v>1</v>
      </c>
      <c r="U41" s="8">
        <f ca="1"/>
        <v>0.36518621467424861</v>
      </c>
      <c r="V41" s="3"/>
      <c r="W41" s="3"/>
      <c r="X41" s="7">
        <f ca="1"/>
        <v>1</v>
      </c>
      <c r="Y41" s="3">
        <f ca="1"/>
        <v>0.19063535018698208</v>
      </c>
      <c r="Z41" s="3">
        <f ca="1"/>
        <v>1</v>
      </c>
      <c r="AA41" s="3">
        <f ca="1"/>
        <v>0.29391519553277146</v>
      </c>
      <c r="AB41" s="8">
        <f ca="1"/>
        <v>1</v>
      </c>
      <c r="AC41" s="3"/>
      <c r="AD41" s="3"/>
      <c r="AE41" s="7">
        <f ca="1"/>
        <v>0.11857264766087336</v>
      </c>
      <c r="AF41" s="3">
        <f ca="1"/>
        <v>1</v>
      </c>
      <c r="AG41" s="3">
        <f ca="1"/>
        <v>1</v>
      </c>
      <c r="AH41" s="3">
        <f ca="1"/>
        <v>0.9919963074849496</v>
      </c>
      <c r="AI41" s="8">
        <f ca="1"/>
        <v>0.54425924325420627</v>
      </c>
      <c r="AJ41" s="3"/>
      <c r="AK41" s="3"/>
      <c r="AL41" s="7">
        <f ca="1"/>
        <v>0.36518621467424861</v>
      </c>
      <c r="AM41" s="3">
        <f ca="1"/>
        <v>1</v>
      </c>
      <c r="AN41" s="3">
        <f ca="1"/>
        <v>1</v>
      </c>
      <c r="AO41" s="3">
        <f ca="1"/>
        <v>1</v>
      </c>
      <c r="AP41" s="8">
        <f ca="1"/>
        <v>0.26963243053853292</v>
      </c>
      <c r="AQ41" s="3"/>
      <c r="AR41" s="3"/>
      <c r="AS41" s="7">
        <f ca="1"/>
        <v>0.36518621467424861</v>
      </c>
      <c r="AT41" s="3">
        <f ca="1"/>
        <v>1</v>
      </c>
      <c r="AU41" s="3">
        <f ca="1"/>
        <v>1</v>
      </c>
      <c r="AV41" s="3">
        <f ca="1"/>
        <v>1</v>
      </c>
      <c r="AW41" s="8">
        <f ca="1"/>
        <v>0.26963243053853292</v>
      </c>
      <c r="AX41" s="3"/>
      <c r="AY41" s="3"/>
      <c r="AZ41" s="7">
        <f ca="1"/>
        <v>1</v>
      </c>
      <c r="BA41" s="3">
        <f ca="1"/>
        <v>1</v>
      </c>
      <c r="BB41" s="3">
        <f ca="1"/>
        <v>1</v>
      </c>
      <c r="BC41" s="3">
        <f ca="1"/>
        <v>0.36518621467424861</v>
      </c>
      <c r="BD41" s="8">
        <f ca="1"/>
        <v>0</v>
      </c>
      <c r="BE41" s="3"/>
      <c r="BG41" s="7">
        <f ca="1"/>
        <v>0.54181176279372867</v>
      </c>
      <c r="BH41" s="3">
        <f ca="1"/>
        <v>0.51168128563951576</v>
      </c>
      <c r="BI41" s="3">
        <f ca="1"/>
        <v>0.29391519553277146</v>
      </c>
      <c r="BJ41" s="3">
        <f ca="1"/>
        <v>1</v>
      </c>
      <c r="BK41" s="8">
        <f ca="1"/>
        <v>0.43833469537172365</v>
      </c>
      <c r="BL41" s="3"/>
      <c r="BM41" s="3"/>
      <c r="BN41" s="7">
        <f ca="1"/>
        <v>1</v>
      </c>
      <c r="BO41" s="3">
        <f ca="1"/>
        <v>0.29391519553277146</v>
      </c>
      <c r="BP41" s="3">
        <f ca="1"/>
        <v>1</v>
      </c>
      <c r="BQ41" s="3">
        <f ca="1"/>
        <v>0.19063535018698208</v>
      </c>
      <c r="BR41" s="8">
        <f ca="1"/>
        <v>1</v>
      </c>
      <c r="BS41" s="3"/>
      <c r="BU41" s="7">
        <f ca="1"/>
        <v>0</v>
      </c>
      <c r="BV41" s="3">
        <f ca="1"/>
        <v>0.26963243053853292</v>
      </c>
      <c r="BW41" s="3">
        <f ca="1"/>
        <v>1</v>
      </c>
      <c r="BX41" s="3">
        <f ca="1"/>
        <v>1</v>
      </c>
      <c r="BY41" s="8">
        <f ca="1"/>
        <v>1</v>
      </c>
      <c r="CA41" s="29"/>
    </row>
    <row r="42" spans="1:79" s="1" customFormat="1" ht="18" customHeight="1" x14ac:dyDescent="0.2">
      <c r="A42" s="7"/>
      <c r="B42" s="202"/>
      <c r="C42" s="7">
        <v>0.54181176279372867</v>
      </c>
      <c r="D42" s="3">
        <v>0.51168128563951576</v>
      </c>
      <c r="E42" s="3">
        <v>0.29391519553277146</v>
      </c>
      <c r="F42" s="3">
        <v>1</v>
      </c>
      <c r="G42" s="8">
        <v>0.43833469537172365</v>
      </c>
      <c r="H42" s="3"/>
      <c r="I42" s="3"/>
      <c r="J42" s="7">
        <f ca="1"/>
        <v>0.26963243053853292</v>
      </c>
      <c r="K42" s="3">
        <f ca="1"/>
        <v>1</v>
      </c>
      <c r="L42" s="3">
        <f ca="1"/>
        <v>1</v>
      </c>
      <c r="M42" s="3">
        <f ca="1"/>
        <v>1</v>
      </c>
      <c r="N42" s="8">
        <f ca="1"/>
        <v>0.36518621467424861</v>
      </c>
      <c r="O42" s="3"/>
      <c r="P42" s="3"/>
      <c r="Q42" s="7">
        <f ca="1"/>
        <v>0.15814065272525224</v>
      </c>
      <c r="R42" s="3">
        <f ca="1"/>
        <v>1</v>
      </c>
      <c r="S42" s="3">
        <f ca="1"/>
        <v>0.19063535018698208</v>
      </c>
      <c r="T42" s="3">
        <f ca="1"/>
        <v>0.34958417480323833</v>
      </c>
      <c r="U42" s="8">
        <f ca="1"/>
        <v>0.51323825156367442</v>
      </c>
      <c r="V42" s="3"/>
      <c r="W42" s="3"/>
      <c r="X42" s="7">
        <f ca="1"/>
        <v>1</v>
      </c>
      <c r="Y42" s="3">
        <f ca="1"/>
        <v>1</v>
      </c>
      <c r="Z42" s="3">
        <f ca="1"/>
        <v>1</v>
      </c>
      <c r="AA42" s="3">
        <f ca="1"/>
        <v>0.51168128563951576</v>
      </c>
      <c r="AB42" s="8">
        <f ca="1"/>
        <v>1</v>
      </c>
      <c r="AC42" s="3"/>
      <c r="AD42" s="3"/>
      <c r="AE42" s="7">
        <f ca="1"/>
        <v>0.66978989402091549</v>
      </c>
      <c r="AF42" s="3">
        <f ca="1"/>
        <v>0.33381035472039289</v>
      </c>
      <c r="AG42" s="3">
        <f ca="1"/>
        <v>0.42497480272342392</v>
      </c>
      <c r="AH42" s="3">
        <f ca="1"/>
        <v>0.945513330262301</v>
      </c>
      <c r="AI42" s="8">
        <f ca="1"/>
        <v>0.27735461640025783</v>
      </c>
      <c r="AJ42" s="3"/>
      <c r="AK42" s="3"/>
      <c r="AL42" s="7">
        <f ca="1"/>
        <v>0.43833469537172365</v>
      </c>
      <c r="AM42" s="3">
        <f ca="1"/>
        <v>1</v>
      </c>
      <c r="AN42" s="3">
        <f ca="1"/>
        <v>0.29391519553277146</v>
      </c>
      <c r="AO42" s="3">
        <f ca="1"/>
        <v>0.51168128563951576</v>
      </c>
      <c r="AP42" s="8">
        <f ca="1"/>
        <v>0.54181176279372867</v>
      </c>
      <c r="AQ42" s="3"/>
      <c r="AR42" s="3"/>
      <c r="AS42" s="7">
        <f ca="1"/>
        <v>0.51323825156367442</v>
      </c>
      <c r="AT42" s="3">
        <f ca="1"/>
        <v>0.34958417480323833</v>
      </c>
      <c r="AU42" s="3">
        <f ca="1"/>
        <v>0.19063535018698208</v>
      </c>
      <c r="AV42" s="3">
        <f ca="1"/>
        <v>1</v>
      </c>
      <c r="AW42" s="8">
        <f ca="1"/>
        <v>0.15814065272525224</v>
      </c>
      <c r="AX42" s="3"/>
      <c r="AY42" s="3"/>
      <c r="AZ42" s="7">
        <f ca="1"/>
        <v>0.51168128563951576</v>
      </c>
      <c r="BA42" s="3">
        <f ca="1"/>
        <v>0.29391519553277146</v>
      </c>
      <c r="BB42" s="3">
        <f ca="1"/>
        <v>1</v>
      </c>
      <c r="BC42" s="3">
        <f ca="1"/>
        <v>0.43833469537172365</v>
      </c>
      <c r="BD42" s="8">
        <f ca="1"/>
        <v>0</v>
      </c>
      <c r="BE42" s="3"/>
      <c r="BG42" s="7">
        <f ca="1"/>
        <v>0.52047149067672216</v>
      </c>
      <c r="BH42" s="3">
        <f ca="1"/>
        <v>1</v>
      </c>
      <c r="BI42" s="3">
        <f ca="1"/>
        <v>1</v>
      </c>
      <c r="BJ42" s="3">
        <f ca="1"/>
        <v>1</v>
      </c>
      <c r="BK42" s="8">
        <f ca="1"/>
        <v>0.45070920851494067</v>
      </c>
      <c r="BL42" s="3"/>
      <c r="BM42" s="3"/>
      <c r="BN42" s="7">
        <f ca="1"/>
        <v>1</v>
      </c>
      <c r="BO42" s="3">
        <f ca="1"/>
        <v>1</v>
      </c>
      <c r="BP42" s="3">
        <f ca="1"/>
        <v>1</v>
      </c>
      <c r="BQ42" s="3">
        <f ca="1"/>
        <v>0.34958417480323833</v>
      </c>
      <c r="BR42" s="8">
        <f ca="1"/>
        <v>1</v>
      </c>
      <c r="BS42" s="3"/>
      <c r="BU42" s="7">
        <f ca="1"/>
        <v>0</v>
      </c>
      <c r="BV42" s="3">
        <f ca="1"/>
        <v>0.54181176279372867</v>
      </c>
      <c r="BW42" s="3">
        <f ca="1"/>
        <v>0.51168128563951576</v>
      </c>
      <c r="BX42" s="3">
        <f ca="1"/>
        <v>0.29391519553277146</v>
      </c>
      <c r="BY42" s="8">
        <f ca="1"/>
        <v>1</v>
      </c>
      <c r="CA42" s="29"/>
    </row>
    <row r="43" spans="1:79" s="1" customFormat="1" ht="18" customHeight="1" thickBot="1" x14ac:dyDescent="0.25">
      <c r="A43" s="7"/>
      <c r="B43" s="202"/>
      <c r="C43" s="9">
        <v>0.52047149067672216</v>
      </c>
      <c r="D43" s="10">
        <v>1</v>
      </c>
      <c r="E43" s="10">
        <v>1</v>
      </c>
      <c r="F43" s="10">
        <v>1</v>
      </c>
      <c r="G43" s="11">
        <v>0.45070920851494067</v>
      </c>
      <c r="H43" s="3"/>
      <c r="I43" s="3"/>
      <c r="J43" s="9">
        <f ca="1"/>
        <v>0.54181176279372867</v>
      </c>
      <c r="K43" s="10">
        <f ca="1"/>
        <v>0.51168128563951576</v>
      </c>
      <c r="L43" s="10">
        <f ca="1"/>
        <v>0.29391519553277146</v>
      </c>
      <c r="M43" s="10">
        <f ca="1"/>
        <v>1</v>
      </c>
      <c r="N43" s="11">
        <f ca="1"/>
        <v>0.43833469537172365</v>
      </c>
      <c r="O43" s="3"/>
      <c r="P43" s="3"/>
      <c r="Q43" s="9">
        <f ca="1"/>
        <v>0.60426402558797665</v>
      </c>
      <c r="R43" s="10">
        <f ca="1"/>
        <v>1</v>
      </c>
      <c r="S43" s="10">
        <f ca="1"/>
        <v>1</v>
      </c>
      <c r="T43" s="10">
        <f ca="1"/>
        <v>1</v>
      </c>
      <c r="U43" s="11">
        <f ca="1"/>
        <v>0.23057421397337907</v>
      </c>
      <c r="V43" s="3"/>
      <c r="W43" s="3"/>
      <c r="X43" s="9">
        <f ca="1"/>
        <v>0.60426402558797665</v>
      </c>
      <c r="Y43" s="10">
        <f ca="1"/>
        <v>0.15814065272525224</v>
      </c>
      <c r="Z43" s="10">
        <f ca="1"/>
        <v>0.26963243053853292</v>
      </c>
      <c r="AA43" s="10">
        <f ca="1"/>
        <v>0.54181176279372867</v>
      </c>
      <c r="AB43" s="11">
        <f ca="1"/>
        <v>0.52047149067672216</v>
      </c>
      <c r="AC43" s="3"/>
      <c r="AD43" s="3"/>
      <c r="AE43" s="9">
        <f ca="1"/>
        <v>0.52093135763792664</v>
      </c>
      <c r="AF43" s="10">
        <f ca="1"/>
        <v>0.91033355340635858</v>
      </c>
      <c r="AG43" s="10">
        <f ca="1"/>
        <v>1</v>
      </c>
      <c r="AH43" s="10">
        <f ca="1"/>
        <v>0.82180462834485613</v>
      </c>
      <c r="AI43" s="11">
        <f ca="1"/>
        <v>0.57136765032703196</v>
      </c>
      <c r="AJ43" s="3"/>
      <c r="AK43" s="3"/>
      <c r="AL43" s="9">
        <f ca="1"/>
        <v>0.45070920851494067</v>
      </c>
      <c r="AM43" s="10">
        <f ca="1"/>
        <v>1</v>
      </c>
      <c r="AN43" s="10">
        <f ca="1"/>
        <v>1</v>
      </c>
      <c r="AO43" s="10">
        <f ca="1"/>
        <v>1</v>
      </c>
      <c r="AP43" s="11">
        <f ca="1"/>
        <v>0.52047149067672216</v>
      </c>
      <c r="AQ43" s="3"/>
      <c r="AR43" s="3"/>
      <c r="AS43" s="9">
        <f ca="1"/>
        <v>0.23057421397337907</v>
      </c>
      <c r="AT43" s="10">
        <f ca="1"/>
        <v>1</v>
      </c>
      <c r="AU43" s="10">
        <f ca="1"/>
        <v>1</v>
      </c>
      <c r="AV43" s="10">
        <f ca="1"/>
        <v>1</v>
      </c>
      <c r="AW43" s="11">
        <f ca="1"/>
        <v>0.60426402558797665</v>
      </c>
      <c r="AX43" s="3"/>
      <c r="AY43" s="3"/>
      <c r="AZ43" s="9">
        <f ca="1"/>
        <v>1</v>
      </c>
      <c r="BA43" s="10">
        <f ca="1"/>
        <v>1</v>
      </c>
      <c r="BB43" s="10">
        <f ca="1"/>
        <v>1</v>
      </c>
      <c r="BC43" s="10">
        <f ca="1"/>
        <v>0.45070920851494067</v>
      </c>
      <c r="BD43" s="11">
        <f ca="1"/>
        <v>0</v>
      </c>
      <c r="BE43" s="3"/>
      <c r="BG43" s="9">
        <f ca="1"/>
        <v>0</v>
      </c>
      <c r="BH43" s="10">
        <f ca="1"/>
        <v>0</v>
      </c>
      <c r="BI43" s="10">
        <f ca="1"/>
        <v>0</v>
      </c>
      <c r="BJ43" s="10">
        <f ca="1"/>
        <v>0</v>
      </c>
      <c r="BK43" s="11">
        <f ca="1"/>
        <v>0</v>
      </c>
      <c r="BL43" s="3"/>
      <c r="BM43" s="3"/>
      <c r="BN43" s="9">
        <f ca="1"/>
        <v>0.45070920851494067</v>
      </c>
      <c r="BO43" s="10">
        <f ca="1"/>
        <v>0.43833469537172365</v>
      </c>
      <c r="BP43" s="10">
        <f ca="1"/>
        <v>0.36518621467424861</v>
      </c>
      <c r="BQ43" s="10">
        <f ca="1"/>
        <v>0.51323825156367442</v>
      </c>
      <c r="BR43" s="11">
        <f ca="1"/>
        <v>0.23057421397337907</v>
      </c>
      <c r="BS43" s="3"/>
      <c r="BU43" s="9">
        <f ca="1"/>
        <v>0</v>
      </c>
      <c r="BV43" s="10">
        <f ca="1"/>
        <v>0.52047149067672216</v>
      </c>
      <c r="BW43" s="10">
        <f ca="1"/>
        <v>1</v>
      </c>
      <c r="BX43" s="10">
        <f ca="1"/>
        <v>1</v>
      </c>
      <c r="BY43" s="11">
        <f ca="1"/>
        <v>1</v>
      </c>
      <c r="CA43" s="29"/>
    </row>
    <row r="44" spans="1:79" s="1" customFormat="1" ht="18" customHeight="1" x14ac:dyDescent="0.2">
      <c r="A44" s="7"/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U44" s="3"/>
      <c r="BV44" s="3"/>
      <c r="BW44" s="3"/>
      <c r="BX44" s="3"/>
      <c r="BY44" s="3"/>
      <c r="CA44" s="29"/>
    </row>
    <row r="45" spans="1:79" s="1" customFormat="1" ht="18" customHeight="1" thickBot="1" x14ac:dyDescent="0.25">
      <c r="A45" s="7"/>
      <c r="B45" s="202">
        <v>6</v>
      </c>
      <c r="C45" s="200" t="s">
        <v>9</v>
      </c>
      <c r="D45" s="200"/>
      <c r="E45" s="200"/>
      <c r="F45" s="200"/>
      <c r="G45" s="200"/>
      <c r="H45" s="28"/>
      <c r="I45" s="3"/>
      <c r="J45" s="200" t="str" cm="1">
        <f t="array" aca="1" ref="J45" ca="1">INDEX(Helper!$E$13:$E$22, OFFSET(Helper!$J$13,$B45,J$2))</f>
        <v>Shift Down</v>
      </c>
      <c r="K45" s="200"/>
      <c r="L45" s="200"/>
      <c r="M45" s="200"/>
      <c r="N45" s="200"/>
      <c r="O45" s="3"/>
      <c r="P45" s="3"/>
      <c r="Q45" s="200" t="str" cm="1">
        <f t="array" aca="1" ref="Q45" ca="1">INDEX(Helper!$E$13:$E$22, OFFSET(Helper!$J$13,$B45,Q$2))</f>
        <v>Noise</v>
      </c>
      <c r="R45" s="200"/>
      <c r="S45" s="200"/>
      <c r="T45" s="200"/>
      <c r="U45" s="200"/>
      <c r="V45" s="3"/>
      <c r="W45" s="3"/>
      <c r="X45" s="200" t="str" cm="1">
        <f t="array" aca="1" ref="X45" ca="1">INDEX(Helper!$E$13:$E$22, OFFSET(Helper!$J$13,$B45,X$2))</f>
        <v>Shift Up</v>
      </c>
      <c r="Y45" s="200"/>
      <c r="Z45" s="200"/>
      <c r="AA45" s="200"/>
      <c r="AB45" s="200"/>
      <c r="AC45" s="3"/>
      <c r="AD45" s="3"/>
      <c r="AE45" s="200" t="str" cm="1">
        <f t="array" aca="1" ref="AE45" ca="1">INDEX(Helper!$E$13:$E$22, OFFSET(Helper!$J$13,$B45,AE$2))</f>
        <v>90 CCW</v>
      </c>
      <c r="AF45" s="200"/>
      <c r="AG45" s="200"/>
      <c r="AH45" s="200"/>
      <c r="AI45" s="200"/>
      <c r="AJ45" s="3"/>
      <c r="AK45" s="3"/>
      <c r="AL45" s="200" t="str" cm="1">
        <f t="array" aca="1" ref="AL45" ca="1">INDEX(Helper!$E$13:$E$22, OFFSET(Helper!$J$13,$B45,AL$2))</f>
        <v>90 CW</v>
      </c>
      <c r="AM45" s="200"/>
      <c r="AN45" s="200"/>
      <c r="AO45" s="200"/>
      <c r="AP45" s="200"/>
      <c r="AQ45" s="3"/>
      <c r="AR45" s="3"/>
      <c r="AS45" s="200" t="str" cm="1">
        <f t="array" aca="1" ref="AS45" ca="1">INDEX(Helper!$E$13:$E$22, OFFSET(Helper!$J$13,$B45,AS$2))</f>
        <v>Shift Right</v>
      </c>
      <c r="AT45" s="200"/>
      <c r="AU45" s="200"/>
      <c r="AV45" s="200"/>
      <c r="AW45" s="200"/>
      <c r="AX45" s="3"/>
      <c r="AY45" s="3"/>
      <c r="AZ45" s="200" t="str" cm="1">
        <f t="array" aca="1" ref="AZ45" ca="1">INDEX(Helper!$E$13:$E$22, OFFSET(Helper!$J$13,$B45,AZ$2))</f>
        <v>Shift Left</v>
      </c>
      <c r="BA45" s="200"/>
      <c r="BB45" s="200"/>
      <c r="BC45" s="200"/>
      <c r="BD45" s="200"/>
      <c r="BE45" s="3"/>
      <c r="BG45" s="200" t="str" cm="1">
        <f t="array" aca="1" ref="BG45" ca="1">INDEX(Helper!$E$13:$E$22, OFFSET(Helper!$J$13,$B45,BG$2))</f>
        <v>Horizontal Flip</v>
      </c>
      <c r="BH45" s="200"/>
      <c r="BI45" s="200"/>
      <c r="BJ45" s="200"/>
      <c r="BK45" s="200"/>
      <c r="BL45" s="3"/>
      <c r="BM45" s="3"/>
      <c r="BN45" s="200" t="str" cm="1">
        <f t="array" aca="1" ref="BN45" ca="1">INDEX(Helper!$E$13:$E$22, OFFSET(Helper!$J$13,$B45,BN$2))</f>
        <v>Vertical Flip</v>
      </c>
      <c r="BO45" s="200"/>
      <c r="BP45" s="200"/>
      <c r="BQ45" s="200"/>
      <c r="BR45" s="200"/>
      <c r="BS45" s="3"/>
      <c r="BU45" s="200" t="str" cm="1">
        <f t="array" aca="1" ref="BU45" ca="1">INDEX(Helper!$E$13:$E$22, OFFSET(Helper!$J$13,$B45,BU$2))</f>
        <v>180 Rotation</v>
      </c>
      <c r="BV45" s="200"/>
      <c r="BW45" s="200"/>
      <c r="BX45" s="200"/>
      <c r="BY45" s="200"/>
      <c r="CA45" s="29"/>
    </row>
    <row r="46" spans="1:79" s="1" customFormat="1" ht="18" customHeight="1" x14ac:dyDescent="0.2">
      <c r="A46" s="7"/>
      <c r="B46" s="202"/>
      <c r="C46" s="4">
        <v>0.27958188501835668</v>
      </c>
      <c r="D46" s="5">
        <v>1</v>
      </c>
      <c r="E46" s="5">
        <v>1</v>
      </c>
      <c r="F46" s="5">
        <v>1</v>
      </c>
      <c r="G46" s="6">
        <v>0.27526416611450932</v>
      </c>
      <c r="H46" s="3"/>
      <c r="I46" s="3"/>
      <c r="J46" s="4" cm="1">
        <f t="array" aca="1" ref="J46:N50" ca="1">_xlfn.IFS(J45="None",  $C46:$G50*0,           J45="Horizontal Flip", INDEX($C46:$G50, _xlfn.SEQUENCE(5), 6 - _xlfn.SEQUENCE(1,5)),        J45="Vertical Flip", INDEX($C46:$G50, 6 - _xlfn.SEQUENCE(5), _xlfn.SEQUENCE(1,5)),      J45="180 Rotation", INDEX($C46:$G50, 6 - _xlfn.SEQUENCE(5), 6 - _xlfn.SEQUENCE(1,5)),        J45="90 CW", INDEX($C46:$G50, 6 - _xlfn.SEQUENCE(1,5), _xlfn.SEQUENCE(5)),          J45="90 CCW", INDEX($C46:$G50, _xlfn.SEQUENCE(1,5), 6 - _xlfn.SEQUENCE(5)),         J45="Shift Up", IF(_xlfn.SEQUENCE(5)+1&lt;=5, INDEX($C46:$G50, _xlfn.SEQUENCE(5)+1, _xlfn.SEQUENCE(1,5)), 0),         J45="Shift Down", IF(_xlfn.SEQUENCE(5)-1&gt;=1, INDEX($C46:$G50, _xlfn.SEQUENCE(5)-1, _xlfn.SEQUENCE(1,5)), 0),         J45="Shift Left",   IF(_xlfn.SEQUENCE(1,5)+1&lt;=5, INDEX($C46:$G50, _xlfn.SEQUENCE(5), _xlfn.SEQUENCE(1,5)+1),0),         J45= "Shift Right",  IF(_xlfn.SEQUENCE(1,5)-1&gt;=1, INDEX($C46:$G50, _xlfn.SEQUENCE(5), _xlfn.SEQUENCE(1,5)-1), 0),        J45="Noise",  _xlfn.MAP($C46:$G50 + (_xlfn.RANDARRAY(ROWS($C46:$G50), COLUMNS($C46:$G50)) - 0.5) * 0.4, _xlfn.LAMBDA(_xlpm.x, MAX(0, MIN(1, _xlpm.x)))))</f>
        <v>0</v>
      </c>
      <c r="K46" s="5">
        <f ca="1"/>
        <v>0</v>
      </c>
      <c r="L46" s="5">
        <f ca="1"/>
        <v>0</v>
      </c>
      <c r="M46" s="5">
        <f ca="1"/>
        <v>0</v>
      </c>
      <c r="N46" s="6">
        <f ca="1"/>
        <v>0</v>
      </c>
      <c r="O46" s="3"/>
      <c r="P46" s="3"/>
      <c r="Q46" s="4" cm="1">
        <f t="array" aca="1" ref="Q46:U50" ca="1">_xlfn.IFS(Q45="None",  $C46:$G50*0,           Q45="Horizontal Flip", INDEX($C46:$G50, _xlfn.SEQUENCE(5), 6 - _xlfn.SEQUENCE(1,5)),        Q45="Vertical Flip", INDEX($C46:$G50, 6 - _xlfn.SEQUENCE(5), _xlfn.SEQUENCE(1,5)),      Q45="180 Rotation", INDEX($C46:$G50, 6 - _xlfn.SEQUENCE(5), 6 - _xlfn.SEQUENCE(1,5)),        Q45="90 CW", INDEX($C46:$G50, 6 - _xlfn.SEQUENCE(1,5), _xlfn.SEQUENCE(5)),          Q45="90 CCW", INDEX($C46:$G50, _xlfn.SEQUENCE(1,5), 6 - _xlfn.SEQUENCE(5)),         Q45="Shift Up", IF(_xlfn.SEQUENCE(5)+1&lt;=5, INDEX($C46:$G50, _xlfn.SEQUENCE(5)+1, _xlfn.SEQUENCE(1,5)), 0),         Q45="Shift Down", IF(_xlfn.SEQUENCE(5)-1&gt;=1, INDEX($C46:$G50, _xlfn.SEQUENCE(5)-1, _xlfn.SEQUENCE(1,5)), 0),         Q45="Shift Left",   IF(_xlfn.SEQUENCE(1,5)+1&lt;=5, INDEX($C46:$G50, _xlfn.SEQUENCE(5), _xlfn.SEQUENCE(1,5)+1),0),         Q45= "Shift Right",  IF(_xlfn.SEQUENCE(1,5)-1&gt;=1, INDEX($C46:$G50, _xlfn.SEQUENCE(5), _xlfn.SEQUENCE(1,5)-1), 0),        Q45="Noise",  _xlfn.MAP($C46:$G50 + (_xlfn.RANDARRAY(ROWS($C46:$G50), COLUMNS($C46:$G50)) - 0.5) * 0.4, _xlfn.LAMBDA(_xlpm.x, MAX(0, MIN(1, _xlpm.x)))))</f>
        <v>0.18644521850624257</v>
      </c>
      <c r="R46" s="5">
        <f ca="1"/>
        <v>0.9083090681955055</v>
      </c>
      <c r="S46" s="5">
        <f ca="1"/>
        <v>0.94572988335748343</v>
      </c>
      <c r="T46" s="5">
        <f ca="1"/>
        <v>1</v>
      </c>
      <c r="U46" s="6">
        <f ca="1"/>
        <v>0.3857092236653874</v>
      </c>
      <c r="V46" s="3"/>
      <c r="W46" s="3"/>
      <c r="X46" s="4" cm="1">
        <f t="array" aca="1" ref="X46:AB50" ca="1">_xlfn.IFS(X45="None",  $C46:$G50*0,           X45="Horizontal Flip", INDEX($C46:$G50, _xlfn.SEQUENCE(5), 6 - _xlfn.SEQUENCE(1,5)),        X45="Vertical Flip", INDEX($C46:$G50, 6 - _xlfn.SEQUENCE(5), _xlfn.SEQUENCE(1,5)),      X45="180 Rotation", INDEX($C46:$G50, 6 - _xlfn.SEQUENCE(5), 6 - _xlfn.SEQUENCE(1,5)),        X45="90 CW", INDEX($C46:$G50, 6 - _xlfn.SEQUENCE(1,5), _xlfn.SEQUENCE(5)),          X45="90 CCW", INDEX($C46:$G50, _xlfn.SEQUENCE(1,5), 6 - _xlfn.SEQUENCE(5)),         X45="Shift Up", IF(_xlfn.SEQUENCE(5)+1&lt;=5, INDEX($C46:$G50, _xlfn.SEQUENCE(5)+1, _xlfn.SEQUENCE(1,5)), 0),         X45="Shift Down", IF(_xlfn.SEQUENCE(5)-1&gt;=1, INDEX($C46:$G50, _xlfn.SEQUENCE(5)-1, _xlfn.SEQUENCE(1,5)), 0),         X45="Shift Left",   IF(_xlfn.SEQUENCE(1,5)+1&lt;=5, INDEX($C46:$G50, _xlfn.SEQUENCE(5), _xlfn.SEQUENCE(1,5)+1),0),         X45= "Shift Right",  IF(_xlfn.SEQUENCE(1,5)-1&gt;=1, INDEX($C46:$G50, _xlfn.SEQUENCE(5), _xlfn.SEQUENCE(1,5)-1), 0),        X45="Noise",  _xlfn.MAP($C46:$G50 + (_xlfn.RANDARRAY(ROWS($C46:$G50), COLUMNS($C46:$G50)) - 0.5) * 0.4, _xlfn.LAMBDA(_xlpm.x, MAX(0, MIN(1, _xlpm.x)))))</f>
        <v>0.30234757593384964</v>
      </c>
      <c r="Y46" s="5">
        <f ca="1"/>
        <v>1</v>
      </c>
      <c r="Z46" s="5">
        <f ca="1"/>
        <v>0.17677269419232655</v>
      </c>
      <c r="AA46" s="5">
        <f ca="1"/>
        <v>0.61378201105565433</v>
      </c>
      <c r="AB46" s="6">
        <f ca="1"/>
        <v>0.64463313068249883</v>
      </c>
      <c r="AC46" s="3"/>
      <c r="AD46" s="3"/>
      <c r="AE46" s="4" cm="1">
        <f t="array" aca="1" ref="AE46:AI50" ca="1">_xlfn.IFS(AE45="None",  $C46:$G50*0,           AE45="Horizontal Flip", INDEX($C46:$G50, _xlfn.SEQUENCE(5), 6 - _xlfn.SEQUENCE(1,5)),        AE45="Vertical Flip", INDEX($C46:$G50, 6 - _xlfn.SEQUENCE(5), _xlfn.SEQUENCE(1,5)),      AE45="180 Rotation", INDEX($C46:$G50, 6 - _xlfn.SEQUENCE(5), 6 - _xlfn.SEQUENCE(1,5)),        AE45="90 CW", INDEX($C46:$G50, 6 - _xlfn.SEQUENCE(1,5), _xlfn.SEQUENCE(5)),          AE45="90 CCW", INDEX($C46:$G50, _xlfn.SEQUENCE(1,5), 6 - _xlfn.SEQUENCE(5)),         AE45="Shift Up", IF(_xlfn.SEQUENCE(5)+1&lt;=5, INDEX($C46:$G50, _xlfn.SEQUENCE(5)+1, _xlfn.SEQUENCE(1,5)), 0),         AE45="Shift Down", IF(_xlfn.SEQUENCE(5)-1&gt;=1, INDEX($C46:$G50, _xlfn.SEQUENCE(5)-1, _xlfn.SEQUENCE(1,5)), 0),         AE45="Shift Left",   IF(_xlfn.SEQUENCE(1,5)+1&lt;=5, INDEX($C46:$G50, _xlfn.SEQUENCE(5), _xlfn.SEQUENCE(1,5)+1),0),         AE45= "Shift Right",  IF(_xlfn.SEQUENCE(1,5)-1&gt;=1, INDEX($C46:$G50, _xlfn.SEQUENCE(5), _xlfn.SEQUENCE(1,5)-1), 0),        AE45="Noise",  _xlfn.MAP($C46:$G50 + (_xlfn.RANDARRAY(ROWS($C46:$G50), COLUMNS($C46:$G50)) - 0.5) * 0.4, _xlfn.LAMBDA(_xlpm.x, MAX(0, MIN(1, _xlpm.x)))))</f>
        <v>0.27526416611450932</v>
      </c>
      <c r="AF46" s="5">
        <f ca="1"/>
        <v>0.64463313068249883</v>
      </c>
      <c r="AG46" s="5">
        <f ca="1"/>
        <v>0.39771131229128331</v>
      </c>
      <c r="AH46" s="5">
        <f ca="1"/>
        <v>0.54916534251443094</v>
      </c>
      <c r="AI46" s="6">
        <f ca="1"/>
        <v>0.39052718269779463</v>
      </c>
      <c r="AJ46" s="3"/>
      <c r="AK46" s="3"/>
      <c r="AL46" s="4" cm="1">
        <f t="array" aca="1" ref="AL46:AP50" ca="1">_xlfn.IFS(AL45="None",  $C46:$G50*0,           AL45="Horizontal Flip", INDEX($C46:$G50, _xlfn.SEQUENCE(5), 6 - _xlfn.SEQUENCE(1,5)),        AL45="Vertical Flip", INDEX($C46:$G50, 6 - _xlfn.SEQUENCE(5), _xlfn.SEQUENCE(1,5)),      AL45="180 Rotation", INDEX($C46:$G50, 6 - _xlfn.SEQUENCE(5), 6 - _xlfn.SEQUENCE(1,5)),        AL45="90 CW", INDEX($C46:$G50, 6 - _xlfn.SEQUENCE(1,5), _xlfn.SEQUENCE(5)),          AL45="90 CCW", INDEX($C46:$G50, _xlfn.SEQUENCE(1,5), 6 - _xlfn.SEQUENCE(5)),         AL45="Shift Up", IF(_xlfn.SEQUENCE(5)+1&lt;=5, INDEX($C46:$G50, _xlfn.SEQUENCE(5)+1, _xlfn.SEQUENCE(1,5)), 0),         AL45="Shift Down", IF(_xlfn.SEQUENCE(5)-1&gt;=1, INDEX($C46:$G50, _xlfn.SEQUENCE(5)-1, _xlfn.SEQUENCE(1,5)), 0),         AL45="Shift Left",   IF(_xlfn.SEQUENCE(1,5)+1&lt;=5, INDEX($C46:$G50, _xlfn.SEQUENCE(5), _xlfn.SEQUENCE(1,5)+1),0),         AL45= "Shift Right",  IF(_xlfn.SEQUENCE(1,5)-1&gt;=1, INDEX($C46:$G50, _xlfn.SEQUENCE(5), _xlfn.SEQUENCE(1,5)-1), 0),        AL45="Noise",  _xlfn.MAP($C46:$G50 + (_xlfn.RANDARRAY(ROWS($C46:$G50), COLUMNS($C46:$G50)) - 0.5) * 0.4, _xlfn.LAMBDA(_xlpm.x, MAX(0, MIN(1, _xlpm.x)))))</f>
        <v>0.26989579754738691</v>
      </c>
      <c r="AM46" s="5">
        <f ca="1"/>
        <v>0.35415212537187357</v>
      </c>
      <c r="AN46" s="5">
        <f ca="1"/>
        <v>0.41492783228954788</v>
      </c>
      <c r="AO46" s="5">
        <f ca="1"/>
        <v>0.30234757593384964</v>
      </c>
      <c r="AP46" s="6">
        <f ca="1"/>
        <v>0.27958188501835668</v>
      </c>
      <c r="AQ46" s="3"/>
      <c r="AR46" s="3"/>
      <c r="AS46" s="4" cm="1">
        <f t="array" aca="1" ref="AS46:AW50" ca="1">_xlfn.IFS(AS45="None",  $C46:$G50*0,           AS45="Horizontal Flip", INDEX($C46:$G50, _xlfn.SEQUENCE(5), 6 - _xlfn.SEQUENCE(1,5)),        AS45="Vertical Flip", INDEX($C46:$G50, 6 - _xlfn.SEQUENCE(5), _xlfn.SEQUENCE(1,5)),      AS45="180 Rotation", INDEX($C46:$G50, 6 - _xlfn.SEQUENCE(5), 6 - _xlfn.SEQUENCE(1,5)),        AS45="90 CW", INDEX($C46:$G50, 6 - _xlfn.SEQUENCE(1,5), _xlfn.SEQUENCE(5)),          AS45="90 CCW", INDEX($C46:$G50, _xlfn.SEQUENCE(1,5), 6 - _xlfn.SEQUENCE(5)),         AS45="Shift Up", IF(_xlfn.SEQUENCE(5)+1&lt;=5, INDEX($C46:$G50, _xlfn.SEQUENCE(5)+1, _xlfn.SEQUENCE(1,5)), 0),         AS45="Shift Down", IF(_xlfn.SEQUENCE(5)-1&gt;=1, INDEX($C46:$G50, _xlfn.SEQUENCE(5)-1, _xlfn.SEQUENCE(1,5)), 0),         AS45="Shift Left",   IF(_xlfn.SEQUENCE(1,5)+1&lt;=5, INDEX($C46:$G50, _xlfn.SEQUENCE(5), _xlfn.SEQUENCE(1,5)+1),0),         AS45= "Shift Right",  IF(_xlfn.SEQUENCE(1,5)-1&gt;=1, INDEX($C46:$G50, _xlfn.SEQUENCE(5), _xlfn.SEQUENCE(1,5)-1), 0),        AS45="Noise",  _xlfn.MAP($C46:$G50 + (_xlfn.RANDARRAY(ROWS($C46:$G50), COLUMNS($C46:$G50)) - 0.5) * 0.4, _xlfn.LAMBDA(_xlpm.x, MAX(0, MIN(1, _xlpm.x)))))</f>
        <v>0</v>
      </c>
      <c r="AT46" s="5">
        <f ca="1"/>
        <v>0.27958188501835668</v>
      </c>
      <c r="AU46" s="5">
        <f ca="1"/>
        <v>1</v>
      </c>
      <c r="AV46" s="5">
        <f ca="1"/>
        <v>1</v>
      </c>
      <c r="AW46" s="6">
        <f ca="1"/>
        <v>1</v>
      </c>
      <c r="AX46" s="3"/>
      <c r="AY46" s="3"/>
      <c r="AZ46" s="4" cm="1">
        <f t="array" aca="1" ref="AZ46:BD50" ca="1">_xlfn.IFS(AZ45="None",  $C46:$G50*0,           AZ45="Horizontal Flip", INDEX($C46:$G50, _xlfn.SEQUENCE(5), 6 - _xlfn.SEQUENCE(1,5)),        AZ45="Vertical Flip", INDEX($C46:$G50, 6 - _xlfn.SEQUENCE(5), _xlfn.SEQUENCE(1,5)),      AZ45="180 Rotation", INDEX($C46:$G50, 6 - _xlfn.SEQUENCE(5), 6 - _xlfn.SEQUENCE(1,5)),        AZ45="90 CW", INDEX($C46:$G50, 6 - _xlfn.SEQUENCE(1,5), _xlfn.SEQUENCE(5)),          AZ45="90 CCW", INDEX($C46:$G50, _xlfn.SEQUENCE(1,5), 6 - _xlfn.SEQUENCE(5)),         AZ45="Shift Up", IF(_xlfn.SEQUENCE(5)+1&lt;=5, INDEX($C46:$G50, _xlfn.SEQUENCE(5)+1, _xlfn.SEQUENCE(1,5)), 0),         AZ45="Shift Down", IF(_xlfn.SEQUENCE(5)-1&gt;=1, INDEX($C46:$G50, _xlfn.SEQUENCE(5)-1, _xlfn.SEQUENCE(1,5)), 0),         AZ45="Shift Left",   IF(_xlfn.SEQUENCE(1,5)+1&lt;=5, INDEX($C46:$G50, _xlfn.SEQUENCE(5), _xlfn.SEQUENCE(1,5)+1),0),         AZ45= "Shift Right",  IF(_xlfn.SEQUENCE(1,5)-1&gt;=1, INDEX($C46:$G50, _xlfn.SEQUENCE(5), _xlfn.SEQUENCE(1,5)-1), 0),        AZ45="Noise",  _xlfn.MAP($C46:$G50 + (_xlfn.RANDARRAY(ROWS($C46:$G50), COLUMNS($C46:$G50)) - 0.5) * 0.4, _xlfn.LAMBDA(_xlpm.x, MAX(0, MIN(1, _xlpm.x)))))</f>
        <v>1</v>
      </c>
      <c r="BA46" s="5">
        <f ca="1"/>
        <v>1</v>
      </c>
      <c r="BB46" s="5">
        <f ca="1"/>
        <v>1</v>
      </c>
      <c r="BC46" s="5">
        <f ca="1"/>
        <v>0.27526416611450932</v>
      </c>
      <c r="BD46" s="6">
        <f ca="1"/>
        <v>0</v>
      </c>
      <c r="BE46" s="3"/>
      <c r="BG46" s="4" cm="1">
        <f t="array" aca="1" ref="BG46:BK50" ca="1">_xlfn.IFS(BG45="None",  $C46:$G50*0,           BG45="Horizontal Flip", INDEX($C46:$G50, _xlfn.SEQUENCE(5), 6 - _xlfn.SEQUENCE(1,5)),        BG45="Vertical Flip", INDEX($C46:$G50, 6 - _xlfn.SEQUENCE(5), _xlfn.SEQUENCE(1,5)),      BG45="180 Rotation", INDEX($C46:$G50, 6 - _xlfn.SEQUENCE(5), 6 - _xlfn.SEQUENCE(1,5)),        BG45="90 CW", INDEX($C46:$G50, 6 - _xlfn.SEQUENCE(1,5), _xlfn.SEQUENCE(5)),          BG45="90 CCW", INDEX($C46:$G50, _xlfn.SEQUENCE(1,5), 6 - _xlfn.SEQUENCE(5)),         BG45="Shift Up", IF(_xlfn.SEQUENCE(5)+1&lt;=5, INDEX($C46:$G50, _xlfn.SEQUENCE(5)+1, _xlfn.SEQUENCE(1,5)), 0),         BG45="Shift Down", IF(_xlfn.SEQUENCE(5)-1&gt;=1, INDEX($C46:$G50, _xlfn.SEQUENCE(5)-1, _xlfn.SEQUENCE(1,5)), 0),         BG45="Shift Left",   IF(_xlfn.SEQUENCE(1,5)+1&lt;=5, INDEX($C46:$G50, _xlfn.SEQUENCE(5), _xlfn.SEQUENCE(1,5)+1),0),         BG45= "Shift Right",  IF(_xlfn.SEQUENCE(1,5)-1&gt;=1, INDEX($C46:$G50, _xlfn.SEQUENCE(5), _xlfn.SEQUENCE(1,5)-1), 0),        BG45="Noise",  _xlfn.MAP($C46:$G50 + (_xlfn.RANDARRAY(ROWS($C46:$G50), COLUMNS($C46:$G50)) - 0.5) * 0.4, _xlfn.LAMBDA(_xlpm.x, MAX(0, MIN(1, _xlpm.x)))))</f>
        <v>0.27526416611450932</v>
      </c>
      <c r="BH46" s="5">
        <f ca="1"/>
        <v>1</v>
      </c>
      <c r="BI46" s="5">
        <f ca="1"/>
        <v>1</v>
      </c>
      <c r="BJ46" s="5">
        <f ca="1"/>
        <v>1</v>
      </c>
      <c r="BK46" s="6">
        <f ca="1"/>
        <v>0.27958188501835668</v>
      </c>
      <c r="BL46" s="3"/>
      <c r="BM46" s="3"/>
      <c r="BN46" s="4" cm="1">
        <f t="array" aca="1" ref="BN46:BR50" ca="1">_xlfn.IFS(BN45="None",  $C46:$G50*0,           BN45="Horizontal Flip", INDEX($C46:$G50, _xlfn.SEQUENCE(5), 6 - _xlfn.SEQUENCE(1,5)),        BN45="Vertical Flip", INDEX($C46:$G50, 6 - _xlfn.SEQUENCE(5), _xlfn.SEQUENCE(1,5)),      BN45="180 Rotation", INDEX($C46:$G50, 6 - _xlfn.SEQUENCE(5), 6 - _xlfn.SEQUENCE(1,5)),        BN45="90 CW", INDEX($C46:$G50, 6 - _xlfn.SEQUENCE(1,5), _xlfn.SEQUENCE(5)),          BN45="90 CCW", INDEX($C46:$G50, _xlfn.SEQUENCE(1,5), 6 - _xlfn.SEQUENCE(5)),         BN45="Shift Up", IF(_xlfn.SEQUENCE(5)+1&lt;=5, INDEX($C46:$G50, _xlfn.SEQUENCE(5)+1, _xlfn.SEQUENCE(1,5)), 0),         BN45="Shift Down", IF(_xlfn.SEQUENCE(5)-1&gt;=1, INDEX($C46:$G50, _xlfn.SEQUENCE(5)-1, _xlfn.SEQUENCE(1,5)), 0),         BN45="Shift Left",   IF(_xlfn.SEQUENCE(1,5)+1&lt;=5, INDEX($C46:$G50, _xlfn.SEQUENCE(5), _xlfn.SEQUENCE(1,5)+1),0),         BN45= "Shift Right",  IF(_xlfn.SEQUENCE(1,5)-1&gt;=1, INDEX($C46:$G50, _xlfn.SEQUENCE(5), _xlfn.SEQUENCE(1,5)-1), 0),        BN45="Noise",  _xlfn.MAP($C46:$G50 + (_xlfn.RANDARRAY(ROWS($C46:$G50), COLUMNS($C46:$G50)) - 0.5) * 0.4, _xlfn.LAMBDA(_xlpm.x, MAX(0, MIN(1, _xlpm.x)))))</f>
        <v>0.26989579754738691</v>
      </c>
      <c r="BO46" s="5">
        <f ca="1"/>
        <v>1</v>
      </c>
      <c r="BP46" s="5">
        <f ca="1"/>
        <v>1</v>
      </c>
      <c r="BQ46" s="5">
        <f ca="1"/>
        <v>1</v>
      </c>
      <c r="BR46" s="6">
        <f ca="1"/>
        <v>0.39052718269779463</v>
      </c>
      <c r="BS46" s="3"/>
      <c r="BU46" s="4" cm="1">
        <f t="array" aca="1" ref="BU46:BY50" ca="1">_xlfn.IFS(BU45="None",  $C46:$G50*0,           BU45="Horizontal Flip", INDEX($C46:$G50, _xlfn.SEQUENCE(5), 6 - _xlfn.SEQUENCE(1,5)),        BU45="Vertical Flip", INDEX($C46:$G50, 6 - _xlfn.SEQUENCE(5), _xlfn.SEQUENCE(1,5)),      BU45="180 Rotation", INDEX($C46:$G50, 6 - _xlfn.SEQUENCE(5), 6 - _xlfn.SEQUENCE(1,5)),        BU45="90 CW", INDEX($C46:$G50, 6 - _xlfn.SEQUENCE(1,5), _xlfn.SEQUENCE(5)),          BU45="90 CCW", INDEX($C46:$G50, _xlfn.SEQUENCE(1,5), 6 - _xlfn.SEQUENCE(5)),         BU45="Shift Up", IF(_xlfn.SEQUENCE(5)+1&lt;=5, INDEX($C46:$G50, _xlfn.SEQUENCE(5)+1, _xlfn.SEQUENCE(1,5)), 0),         BU45="Shift Down", IF(_xlfn.SEQUENCE(5)-1&gt;=1, INDEX($C46:$G50, _xlfn.SEQUENCE(5)-1, _xlfn.SEQUENCE(1,5)), 0),         BU45="Shift Left",   IF(_xlfn.SEQUENCE(1,5)+1&lt;=5, INDEX($C46:$G50, _xlfn.SEQUENCE(5), _xlfn.SEQUENCE(1,5)+1),0),         BU45= "Shift Right",  IF(_xlfn.SEQUENCE(1,5)-1&gt;=1, INDEX($C46:$G50, _xlfn.SEQUENCE(5), _xlfn.SEQUENCE(1,5)-1), 0),        BU45="Noise",  _xlfn.MAP($C46:$G50 + (_xlfn.RANDARRAY(ROWS($C46:$G50), COLUMNS($C46:$G50)) - 0.5) * 0.4, _xlfn.LAMBDA(_xlpm.x, MAX(0, MIN(1, _xlpm.x)))))</f>
        <v>0.39052718269779463</v>
      </c>
      <c r="BV46" s="5">
        <f ca="1"/>
        <v>1</v>
      </c>
      <c r="BW46" s="5">
        <f ca="1"/>
        <v>1</v>
      </c>
      <c r="BX46" s="5">
        <f ca="1"/>
        <v>1</v>
      </c>
      <c r="BY46" s="6">
        <f ca="1"/>
        <v>0.26989579754738691</v>
      </c>
      <c r="CA46" s="29"/>
    </row>
    <row r="47" spans="1:79" s="1" customFormat="1" ht="18" customHeight="1" x14ac:dyDescent="0.2">
      <c r="A47" s="7"/>
      <c r="B47" s="202"/>
      <c r="C47" s="7">
        <v>0.30234757593384964</v>
      </c>
      <c r="D47" s="3">
        <v>1</v>
      </c>
      <c r="E47" s="3">
        <v>0.17677269419232655</v>
      </c>
      <c r="F47" s="3">
        <v>0.61378201105565433</v>
      </c>
      <c r="G47" s="8">
        <v>0.64463313068249883</v>
      </c>
      <c r="H47" s="3"/>
      <c r="I47" s="3"/>
      <c r="J47" s="7">
        <f ca="1"/>
        <v>0.27958188501835668</v>
      </c>
      <c r="K47" s="3">
        <f ca="1"/>
        <v>1</v>
      </c>
      <c r="L47" s="3">
        <f ca="1"/>
        <v>1</v>
      </c>
      <c r="M47" s="3">
        <f ca="1"/>
        <v>1</v>
      </c>
      <c r="N47" s="8">
        <f ca="1"/>
        <v>0.27526416611450932</v>
      </c>
      <c r="O47" s="3"/>
      <c r="P47" s="3"/>
      <c r="Q47" s="7">
        <f ca="1"/>
        <v>0.30095739664995813</v>
      </c>
      <c r="R47" s="3">
        <f ca="1"/>
        <v>1</v>
      </c>
      <c r="S47" s="3">
        <f ca="1"/>
        <v>0.11508461634453779</v>
      </c>
      <c r="T47" s="3">
        <f ca="1"/>
        <v>0.57528829935808556</v>
      </c>
      <c r="U47" s="8">
        <f ca="1"/>
        <v>0.70417472939213155</v>
      </c>
      <c r="V47" s="3"/>
      <c r="W47" s="3"/>
      <c r="X47" s="7">
        <f ca="1"/>
        <v>0.41492783228954788</v>
      </c>
      <c r="Y47" s="3">
        <f ca="1"/>
        <v>1</v>
      </c>
      <c r="Z47" s="3">
        <f ca="1"/>
        <v>1</v>
      </c>
      <c r="AA47" s="3">
        <f ca="1"/>
        <v>1</v>
      </c>
      <c r="AB47" s="8">
        <f ca="1"/>
        <v>0.39771131229128331</v>
      </c>
      <c r="AC47" s="3"/>
      <c r="AD47" s="3"/>
      <c r="AE47" s="7">
        <f ca="1"/>
        <v>1</v>
      </c>
      <c r="AF47" s="3">
        <f ca="1"/>
        <v>0.61378201105565433</v>
      </c>
      <c r="AG47" s="3">
        <f ca="1"/>
        <v>1</v>
      </c>
      <c r="AH47" s="3">
        <f ca="1"/>
        <v>1</v>
      </c>
      <c r="AI47" s="8">
        <f ca="1"/>
        <v>1</v>
      </c>
      <c r="AJ47" s="3"/>
      <c r="AK47" s="3"/>
      <c r="AL47" s="7">
        <f ca="1"/>
        <v>1</v>
      </c>
      <c r="AM47" s="3">
        <f ca="1"/>
        <v>1</v>
      </c>
      <c r="AN47" s="3">
        <f ca="1"/>
        <v>1</v>
      </c>
      <c r="AO47" s="3">
        <f ca="1"/>
        <v>1</v>
      </c>
      <c r="AP47" s="8">
        <f ca="1"/>
        <v>1</v>
      </c>
      <c r="AQ47" s="3"/>
      <c r="AR47" s="3"/>
      <c r="AS47" s="7">
        <f ca="1"/>
        <v>0</v>
      </c>
      <c r="AT47" s="3">
        <f ca="1"/>
        <v>0.30234757593384964</v>
      </c>
      <c r="AU47" s="3">
        <f ca="1"/>
        <v>1</v>
      </c>
      <c r="AV47" s="3">
        <f ca="1"/>
        <v>0.17677269419232655</v>
      </c>
      <c r="AW47" s="8">
        <f ca="1"/>
        <v>0.61378201105565433</v>
      </c>
      <c r="AX47" s="3"/>
      <c r="AY47" s="3"/>
      <c r="AZ47" s="7">
        <f ca="1"/>
        <v>1</v>
      </c>
      <c r="BA47" s="3">
        <f ca="1"/>
        <v>0.17677269419232655</v>
      </c>
      <c r="BB47" s="3">
        <f ca="1"/>
        <v>0.61378201105565433</v>
      </c>
      <c r="BC47" s="3">
        <f ca="1"/>
        <v>0.64463313068249883</v>
      </c>
      <c r="BD47" s="8">
        <f ca="1"/>
        <v>0</v>
      </c>
      <c r="BE47" s="3"/>
      <c r="BG47" s="7">
        <f ca="1"/>
        <v>0.64463313068249883</v>
      </c>
      <c r="BH47" s="3">
        <f ca="1"/>
        <v>0.61378201105565433</v>
      </c>
      <c r="BI47" s="3">
        <f ca="1"/>
        <v>0.17677269419232655</v>
      </c>
      <c r="BJ47" s="3">
        <f ca="1"/>
        <v>1</v>
      </c>
      <c r="BK47" s="8">
        <f ca="1"/>
        <v>0.30234757593384964</v>
      </c>
      <c r="BL47" s="3"/>
      <c r="BM47" s="3"/>
      <c r="BN47" s="7">
        <f ca="1"/>
        <v>0.35415212537187357</v>
      </c>
      <c r="BO47" s="3">
        <f ca="1"/>
        <v>1</v>
      </c>
      <c r="BP47" s="3">
        <f ca="1"/>
        <v>0.45663546032593905</v>
      </c>
      <c r="BQ47" s="3">
        <f ca="1"/>
        <v>1</v>
      </c>
      <c r="BR47" s="8">
        <f ca="1"/>
        <v>0.54916534251443094</v>
      </c>
      <c r="BS47" s="3"/>
      <c r="BU47" s="7">
        <f ca="1"/>
        <v>0.54916534251443094</v>
      </c>
      <c r="BV47" s="3">
        <f ca="1"/>
        <v>1</v>
      </c>
      <c r="BW47" s="3">
        <f ca="1"/>
        <v>0.45663546032593905</v>
      </c>
      <c r="BX47" s="3">
        <f ca="1"/>
        <v>1</v>
      </c>
      <c r="BY47" s="8">
        <f ca="1"/>
        <v>0.35415212537187357</v>
      </c>
      <c r="CA47" s="29"/>
    </row>
    <row r="48" spans="1:79" s="1" customFormat="1" ht="18" customHeight="1" x14ac:dyDescent="0.2">
      <c r="A48" s="7"/>
      <c r="B48" s="202"/>
      <c r="C48" s="7">
        <v>0.41492783228954788</v>
      </c>
      <c r="D48" s="3">
        <v>1</v>
      </c>
      <c r="E48" s="3">
        <v>1</v>
      </c>
      <c r="F48" s="3">
        <v>1</v>
      </c>
      <c r="G48" s="8">
        <v>0.39771131229128331</v>
      </c>
      <c r="H48" s="3"/>
      <c r="I48" s="3"/>
      <c r="J48" s="7">
        <f ca="1"/>
        <v>0.30234757593384964</v>
      </c>
      <c r="K48" s="3">
        <f ca="1"/>
        <v>1</v>
      </c>
      <c r="L48" s="3">
        <f ca="1"/>
        <v>0.17677269419232655</v>
      </c>
      <c r="M48" s="3">
        <f ca="1"/>
        <v>0.61378201105565433</v>
      </c>
      <c r="N48" s="8">
        <f ca="1"/>
        <v>0.64463313068249883</v>
      </c>
      <c r="O48" s="3"/>
      <c r="P48" s="3"/>
      <c r="Q48" s="7">
        <f ca="1"/>
        <v>0.30443763809269764</v>
      </c>
      <c r="R48" s="3">
        <f ca="1"/>
        <v>0.94622824648572268</v>
      </c>
      <c r="S48" s="3">
        <f ca="1"/>
        <v>1</v>
      </c>
      <c r="T48" s="3">
        <f ca="1"/>
        <v>0.91981829649844626</v>
      </c>
      <c r="U48" s="8">
        <f ca="1"/>
        <v>0.58243675685112495</v>
      </c>
      <c r="V48" s="3"/>
      <c r="W48" s="3"/>
      <c r="X48" s="7">
        <f ca="1"/>
        <v>0.35415212537187357</v>
      </c>
      <c r="Y48" s="3">
        <f ca="1"/>
        <v>1</v>
      </c>
      <c r="Z48" s="3">
        <f ca="1"/>
        <v>0.45663546032593905</v>
      </c>
      <c r="AA48" s="3">
        <f ca="1"/>
        <v>1</v>
      </c>
      <c r="AB48" s="8">
        <f ca="1"/>
        <v>0.54916534251443094</v>
      </c>
      <c r="AC48" s="3"/>
      <c r="AD48" s="3"/>
      <c r="AE48" s="7">
        <f ca="1"/>
        <v>1</v>
      </c>
      <c r="AF48" s="3">
        <f ca="1"/>
        <v>0.17677269419232655</v>
      </c>
      <c r="AG48" s="3">
        <f ca="1"/>
        <v>1</v>
      </c>
      <c r="AH48" s="3">
        <f ca="1"/>
        <v>0.45663546032593905</v>
      </c>
      <c r="AI48" s="8">
        <f ca="1"/>
        <v>1</v>
      </c>
      <c r="AJ48" s="3"/>
      <c r="AK48" s="3"/>
      <c r="AL48" s="7">
        <f ca="1"/>
        <v>1</v>
      </c>
      <c r="AM48" s="3">
        <f ca="1"/>
        <v>0.45663546032593905</v>
      </c>
      <c r="AN48" s="3">
        <f ca="1"/>
        <v>1</v>
      </c>
      <c r="AO48" s="3">
        <f ca="1"/>
        <v>0.17677269419232655</v>
      </c>
      <c r="AP48" s="8">
        <f ca="1"/>
        <v>1</v>
      </c>
      <c r="AQ48" s="3"/>
      <c r="AR48" s="3"/>
      <c r="AS48" s="7">
        <f ca="1"/>
        <v>0</v>
      </c>
      <c r="AT48" s="3">
        <f ca="1"/>
        <v>0.41492783228954788</v>
      </c>
      <c r="AU48" s="3">
        <f ca="1"/>
        <v>1</v>
      </c>
      <c r="AV48" s="3">
        <f ca="1"/>
        <v>1</v>
      </c>
      <c r="AW48" s="8">
        <f ca="1"/>
        <v>1</v>
      </c>
      <c r="AX48" s="3"/>
      <c r="AY48" s="3"/>
      <c r="AZ48" s="7">
        <f ca="1"/>
        <v>1</v>
      </c>
      <c r="BA48" s="3">
        <f ca="1"/>
        <v>1</v>
      </c>
      <c r="BB48" s="3">
        <f ca="1"/>
        <v>1</v>
      </c>
      <c r="BC48" s="3">
        <f ca="1"/>
        <v>0.39771131229128331</v>
      </c>
      <c r="BD48" s="8">
        <f ca="1"/>
        <v>0</v>
      </c>
      <c r="BE48" s="3"/>
      <c r="BG48" s="7">
        <f ca="1"/>
        <v>0.39771131229128331</v>
      </c>
      <c r="BH48" s="3">
        <f ca="1"/>
        <v>1</v>
      </c>
      <c r="BI48" s="3">
        <f ca="1"/>
        <v>1</v>
      </c>
      <c r="BJ48" s="3">
        <f ca="1"/>
        <v>1</v>
      </c>
      <c r="BK48" s="8">
        <f ca="1"/>
        <v>0.41492783228954788</v>
      </c>
      <c r="BL48" s="3"/>
      <c r="BM48" s="3"/>
      <c r="BN48" s="7">
        <f ca="1"/>
        <v>0.41492783228954788</v>
      </c>
      <c r="BO48" s="3">
        <f ca="1"/>
        <v>1</v>
      </c>
      <c r="BP48" s="3">
        <f ca="1"/>
        <v>1</v>
      </c>
      <c r="BQ48" s="3">
        <f ca="1"/>
        <v>1</v>
      </c>
      <c r="BR48" s="8">
        <f ca="1"/>
        <v>0.39771131229128331</v>
      </c>
      <c r="BS48" s="3"/>
      <c r="BU48" s="7">
        <f ca="1"/>
        <v>0.39771131229128331</v>
      </c>
      <c r="BV48" s="3">
        <f ca="1"/>
        <v>1</v>
      </c>
      <c r="BW48" s="3">
        <f ca="1"/>
        <v>1</v>
      </c>
      <c r="BX48" s="3">
        <f ca="1"/>
        <v>1</v>
      </c>
      <c r="BY48" s="8">
        <f ca="1"/>
        <v>0.41492783228954788</v>
      </c>
      <c r="CA48" s="29"/>
    </row>
    <row r="49" spans="1:79" s="1" customFormat="1" ht="18" customHeight="1" x14ac:dyDescent="0.2">
      <c r="A49" s="7"/>
      <c r="B49" s="202"/>
      <c r="C49" s="7">
        <v>0.35415212537187357</v>
      </c>
      <c r="D49" s="3">
        <v>1</v>
      </c>
      <c r="E49" s="3">
        <v>0.45663546032593905</v>
      </c>
      <c r="F49" s="3">
        <v>1</v>
      </c>
      <c r="G49" s="8">
        <v>0.54916534251443094</v>
      </c>
      <c r="H49" s="3"/>
      <c r="I49" s="3"/>
      <c r="J49" s="7">
        <f ca="1"/>
        <v>0.41492783228954788</v>
      </c>
      <c r="K49" s="3">
        <f ca="1"/>
        <v>1</v>
      </c>
      <c r="L49" s="3">
        <f ca="1"/>
        <v>1</v>
      </c>
      <c r="M49" s="3">
        <f ca="1"/>
        <v>1</v>
      </c>
      <c r="N49" s="8">
        <f ca="1"/>
        <v>0.39771131229128331</v>
      </c>
      <c r="O49" s="3"/>
      <c r="P49" s="3"/>
      <c r="Q49" s="7">
        <f ca="1"/>
        <v>0.44486782728258467</v>
      </c>
      <c r="R49" s="3">
        <f ca="1"/>
        <v>0.8123210918217284</v>
      </c>
      <c r="S49" s="3">
        <f ca="1"/>
        <v>0.34806546185326781</v>
      </c>
      <c r="T49" s="3">
        <f ca="1"/>
        <v>1</v>
      </c>
      <c r="U49" s="8">
        <f ca="1"/>
        <v>0.39600914647467456</v>
      </c>
      <c r="V49" s="3"/>
      <c r="W49" s="3"/>
      <c r="X49" s="7">
        <f ca="1"/>
        <v>0.26989579754738691</v>
      </c>
      <c r="Y49" s="3">
        <f ca="1"/>
        <v>1</v>
      </c>
      <c r="Z49" s="3">
        <f ca="1"/>
        <v>1</v>
      </c>
      <c r="AA49" s="3">
        <f ca="1"/>
        <v>1</v>
      </c>
      <c r="AB49" s="8">
        <f ca="1"/>
        <v>0.39052718269779463</v>
      </c>
      <c r="AC49" s="3"/>
      <c r="AD49" s="3"/>
      <c r="AE49" s="7">
        <f ca="1"/>
        <v>1</v>
      </c>
      <c r="AF49" s="3">
        <f ca="1"/>
        <v>1</v>
      </c>
      <c r="AG49" s="3">
        <f ca="1"/>
        <v>1</v>
      </c>
      <c r="AH49" s="3">
        <f ca="1"/>
        <v>1</v>
      </c>
      <c r="AI49" s="8">
        <f ca="1"/>
        <v>1</v>
      </c>
      <c r="AJ49" s="3"/>
      <c r="AK49" s="3"/>
      <c r="AL49" s="7">
        <f ca="1"/>
        <v>1</v>
      </c>
      <c r="AM49" s="3">
        <f ca="1"/>
        <v>1</v>
      </c>
      <c r="AN49" s="3">
        <f ca="1"/>
        <v>1</v>
      </c>
      <c r="AO49" s="3">
        <f ca="1"/>
        <v>0.61378201105565433</v>
      </c>
      <c r="AP49" s="8">
        <f ca="1"/>
        <v>1</v>
      </c>
      <c r="AQ49" s="3"/>
      <c r="AR49" s="3"/>
      <c r="AS49" s="7">
        <f ca="1"/>
        <v>0</v>
      </c>
      <c r="AT49" s="3">
        <f ca="1"/>
        <v>0.35415212537187357</v>
      </c>
      <c r="AU49" s="3">
        <f ca="1"/>
        <v>1</v>
      </c>
      <c r="AV49" s="3">
        <f ca="1"/>
        <v>0.45663546032593905</v>
      </c>
      <c r="AW49" s="8">
        <f ca="1"/>
        <v>1</v>
      </c>
      <c r="AX49" s="3"/>
      <c r="AY49" s="3"/>
      <c r="AZ49" s="7">
        <f ca="1"/>
        <v>1</v>
      </c>
      <c r="BA49" s="3">
        <f ca="1"/>
        <v>0.45663546032593905</v>
      </c>
      <c r="BB49" s="3">
        <f ca="1"/>
        <v>1</v>
      </c>
      <c r="BC49" s="3">
        <f ca="1"/>
        <v>0.54916534251443094</v>
      </c>
      <c r="BD49" s="8">
        <f ca="1"/>
        <v>0</v>
      </c>
      <c r="BE49" s="3"/>
      <c r="BG49" s="7">
        <f ca="1"/>
        <v>0.54916534251443094</v>
      </c>
      <c r="BH49" s="3">
        <f ca="1"/>
        <v>1</v>
      </c>
      <c r="BI49" s="3">
        <f ca="1"/>
        <v>0.45663546032593905</v>
      </c>
      <c r="BJ49" s="3">
        <f ca="1"/>
        <v>1</v>
      </c>
      <c r="BK49" s="8">
        <f ca="1"/>
        <v>0.35415212537187357</v>
      </c>
      <c r="BL49" s="3"/>
      <c r="BM49" s="3"/>
      <c r="BN49" s="7">
        <f ca="1"/>
        <v>0.30234757593384964</v>
      </c>
      <c r="BO49" s="3">
        <f ca="1"/>
        <v>1</v>
      </c>
      <c r="BP49" s="3">
        <f ca="1"/>
        <v>0.17677269419232655</v>
      </c>
      <c r="BQ49" s="3">
        <f ca="1"/>
        <v>0.61378201105565433</v>
      </c>
      <c r="BR49" s="8">
        <f ca="1"/>
        <v>0.64463313068249883</v>
      </c>
      <c r="BS49" s="3"/>
      <c r="BU49" s="7">
        <f ca="1"/>
        <v>0.64463313068249883</v>
      </c>
      <c r="BV49" s="3">
        <f ca="1"/>
        <v>0.61378201105565433</v>
      </c>
      <c r="BW49" s="3">
        <f ca="1"/>
        <v>0.17677269419232655</v>
      </c>
      <c r="BX49" s="3">
        <f ca="1"/>
        <v>1</v>
      </c>
      <c r="BY49" s="8">
        <f ca="1"/>
        <v>0.30234757593384964</v>
      </c>
      <c r="CA49" s="29"/>
    </row>
    <row r="50" spans="1:79" s="1" customFormat="1" ht="18" customHeight="1" thickBot="1" x14ac:dyDescent="0.25">
      <c r="A50" s="7"/>
      <c r="B50" s="202"/>
      <c r="C50" s="9">
        <v>0.26989579754738691</v>
      </c>
      <c r="D50" s="10">
        <v>1</v>
      </c>
      <c r="E50" s="10">
        <v>1</v>
      </c>
      <c r="F50" s="10">
        <v>1</v>
      </c>
      <c r="G50" s="11">
        <v>0.39052718269779463</v>
      </c>
      <c r="H50" s="3"/>
      <c r="I50" s="3"/>
      <c r="J50" s="9">
        <f ca="1"/>
        <v>0.35415212537187357</v>
      </c>
      <c r="K50" s="10">
        <f ca="1"/>
        <v>1</v>
      </c>
      <c r="L50" s="10">
        <f ca="1"/>
        <v>0.45663546032593905</v>
      </c>
      <c r="M50" s="10">
        <f ca="1"/>
        <v>1</v>
      </c>
      <c r="N50" s="11">
        <f ca="1"/>
        <v>0.54916534251443094</v>
      </c>
      <c r="O50" s="3"/>
      <c r="P50" s="3"/>
      <c r="Q50" s="9">
        <f ca="1"/>
        <v>0.32944085489025821</v>
      </c>
      <c r="R50" s="10">
        <f ca="1"/>
        <v>0.98148526532419511</v>
      </c>
      <c r="S50" s="10">
        <f ca="1"/>
        <v>1</v>
      </c>
      <c r="T50" s="10">
        <f ca="1"/>
        <v>1</v>
      </c>
      <c r="U50" s="11">
        <f ca="1"/>
        <v>0.34493726449530482</v>
      </c>
      <c r="V50" s="3"/>
      <c r="W50" s="3"/>
      <c r="X50" s="9">
        <f ca="1"/>
        <v>0</v>
      </c>
      <c r="Y50" s="10">
        <f ca="1"/>
        <v>0</v>
      </c>
      <c r="Z50" s="10">
        <f ca="1"/>
        <v>0</v>
      </c>
      <c r="AA50" s="10">
        <f ca="1"/>
        <v>0</v>
      </c>
      <c r="AB50" s="11">
        <f ca="1"/>
        <v>0</v>
      </c>
      <c r="AC50" s="3"/>
      <c r="AD50" s="3"/>
      <c r="AE50" s="9">
        <f ca="1"/>
        <v>0.27958188501835668</v>
      </c>
      <c r="AF50" s="10">
        <f ca="1"/>
        <v>0.30234757593384964</v>
      </c>
      <c r="AG50" s="10">
        <f ca="1"/>
        <v>0.41492783228954788</v>
      </c>
      <c r="AH50" s="10">
        <f ca="1"/>
        <v>0.35415212537187357</v>
      </c>
      <c r="AI50" s="11">
        <f ca="1"/>
        <v>0.26989579754738691</v>
      </c>
      <c r="AJ50" s="3"/>
      <c r="AK50" s="3"/>
      <c r="AL50" s="9">
        <f ca="1"/>
        <v>0.39052718269779463</v>
      </c>
      <c r="AM50" s="10">
        <f ca="1"/>
        <v>0.54916534251443094</v>
      </c>
      <c r="AN50" s="10">
        <f ca="1"/>
        <v>0.39771131229128331</v>
      </c>
      <c r="AO50" s="10">
        <f ca="1"/>
        <v>0.64463313068249883</v>
      </c>
      <c r="AP50" s="11">
        <f ca="1"/>
        <v>0.27526416611450932</v>
      </c>
      <c r="AQ50" s="3"/>
      <c r="AR50" s="3"/>
      <c r="AS50" s="9">
        <f ca="1"/>
        <v>0</v>
      </c>
      <c r="AT50" s="10">
        <f ca="1"/>
        <v>0.26989579754738691</v>
      </c>
      <c r="AU50" s="10">
        <f ca="1"/>
        <v>1</v>
      </c>
      <c r="AV50" s="10">
        <f ca="1"/>
        <v>1</v>
      </c>
      <c r="AW50" s="11">
        <f ca="1"/>
        <v>1</v>
      </c>
      <c r="AX50" s="3"/>
      <c r="AY50" s="3"/>
      <c r="AZ50" s="9">
        <f ca="1"/>
        <v>1</v>
      </c>
      <c r="BA50" s="10">
        <f ca="1"/>
        <v>1</v>
      </c>
      <c r="BB50" s="10">
        <f ca="1"/>
        <v>1</v>
      </c>
      <c r="BC50" s="10">
        <f ca="1"/>
        <v>0.39052718269779463</v>
      </c>
      <c r="BD50" s="11">
        <f ca="1"/>
        <v>0</v>
      </c>
      <c r="BE50" s="3"/>
      <c r="BG50" s="9">
        <f ca="1"/>
        <v>0.39052718269779463</v>
      </c>
      <c r="BH50" s="10">
        <f ca="1"/>
        <v>1</v>
      </c>
      <c r="BI50" s="10">
        <f ca="1"/>
        <v>1</v>
      </c>
      <c r="BJ50" s="10">
        <f ca="1"/>
        <v>1</v>
      </c>
      <c r="BK50" s="11">
        <f ca="1"/>
        <v>0.26989579754738691</v>
      </c>
      <c r="BL50" s="3"/>
      <c r="BM50" s="3"/>
      <c r="BN50" s="9">
        <f ca="1"/>
        <v>0.27958188501835668</v>
      </c>
      <c r="BO50" s="10">
        <f ca="1"/>
        <v>1</v>
      </c>
      <c r="BP50" s="10">
        <f ca="1"/>
        <v>1</v>
      </c>
      <c r="BQ50" s="10">
        <f ca="1"/>
        <v>1</v>
      </c>
      <c r="BR50" s="11">
        <f ca="1"/>
        <v>0.27526416611450932</v>
      </c>
      <c r="BS50" s="3"/>
      <c r="BU50" s="9">
        <f ca="1"/>
        <v>0.27526416611450932</v>
      </c>
      <c r="BV50" s="10">
        <f ca="1"/>
        <v>1</v>
      </c>
      <c r="BW50" s="10">
        <f ca="1"/>
        <v>1</v>
      </c>
      <c r="BX50" s="10">
        <f ca="1"/>
        <v>1</v>
      </c>
      <c r="BY50" s="11">
        <f ca="1"/>
        <v>0.27958188501835668</v>
      </c>
      <c r="CA50" s="29"/>
    </row>
    <row r="51" spans="1:79" s="1" customFormat="1" ht="18" customHeight="1" x14ac:dyDescent="0.2">
      <c r="A51" s="7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U51" s="3"/>
      <c r="BV51" s="3"/>
      <c r="BW51" s="3"/>
      <c r="BX51" s="3"/>
      <c r="BY51" s="3"/>
      <c r="CA51" s="29"/>
    </row>
    <row r="52" spans="1:79" s="1" customFormat="1" ht="18" customHeight="1" thickBot="1" x14ac:dyDescent="0.25">
      <c r="A52" s="7"/>
      <c r="B52" s="202">
        <v>7</v>
      </c>
      <c r="C52" s="200" t="s">
        <v>9</v>
      </c>
      <c r="D52" s="200"/>
      <c r="E52" s="200"/>
      <c r="F52" s="200"/>
      <c r="G52" s="200"/>
      <c r="H52" s="28"/>
      <c r="I52" s="3"/>
      <c r="J52" s="200" t="str" cm="1">
        <f t="array" aca="1" ref="J52" ca="1">INDEX(Helper!$E$13:$E$22, OFFSET(Helper!$J$13,$B52,J$2))</f>
        <v>180 Rotation</v>
      </c>
      <c r="K52" s="200"/>
      <c r="L52" s="200"/>
      <c r="M52" s="200"/>
      <c r="N52" s="200"/>
      <c r="O52" s="3"/>
      <c r="P52" s="3"/>
      <c r="Q52" s="200" t="str" cm="1">
        <f t="array" aca="1" ref="Q52" ca="1">INDEX(Helper!$E$13:$E$22, OFFSET(Helper!$J$13,$B52,Q$2))</f>
        <v>Horizontal Flip</v>
      </c>
      <c r="R52" s="200"/>
      <c r="S52" s="200"/>
      <c r="T52" s="200"/>
      <c r="U52" s="200"/>
      <c r="V52" s="3"/>
      <c r="W52" s="3"/>
      <c r="X52" s="200" t="str" cm="1">
        <f t="array" aca="1" ref="X52" ca="1">INDEX(Helper!$E$13:$E$22, OFFSET(Helper!$J$13,$B52,X$2))</f>
        <v>Shift Up</v>
      </c>
      <c r="Y52" s="200"/>
      <c r="Z52" s="200"/>
      <c r="AA52" s="200"/>
      <c r="AB52" s="200"/>
      <c r="AC52" s="3"/>
      <c r="AD52" s="3"/>
      <c r="AE52" s="200" t="str" cm="1">
        <f t="array" aca="1" ref="AE52" ca="1">INDEX(Helper!$E$13:$E$22, OFFSET(Helper!$J$13,$B52,AE$2))</f>
        <v>90 CW</v>
      </c>
      <c r="AF52" s="200"/>
      <c r="AG52" s="200"/>
      <c r="AH52" s="200"/>
      <c r="AI52" s="200"/>
      <c r="AJ52" s="3"/>
      <c r="AK52" s="3"/>
      <c r="AL52" s="200" t="str" cm="1">
        <f t="array" aca="1" ref="AL52" ca="1">INDEX(Helper!$E$13:$E$22, OFFSET(Helper!$J$13,$B52,AL$2))</f>
        <v>Vertical Flip</v>
      </c>
      <c r="AM52" s="200"/>
      <c r="AN52" s="200"/>
      <c r="AO52" s="200"/>
      <c r="AP52" s="200"/>
      <c r="AQ52" s="3"/>
      <c r="AR52" s="3"/>
      <c r="AS52" s="200" t="str" cm="1">
        <f t="array" aca="1" ref="AS52" ca="1">INDEX(Helper!$E$13:$E$22, OFFSET(Helper!$J$13,$B52,AS$2))</f>
        <v>Shift Right</v>
      </c>
      <c r="AT52" s="200"/>
      <c r="AU52" s="200"/>
      <c r="AV52" s="200"/>
      <c r="AW52" s="200"/>
      <c r="AX52" s="3"/>
      <c r="AY52" s="3"/>
      <c r="AZ52" s="200" t="str" cm="1">
        <f t="array" aca="1" ref="AZ52" ca="1">INDEX(Helper!$E$13:$E$22, OFFSET(Helper!$J$13,$B52,AZ$2))</f>
        <v>Shift Left</v>
      </c>
      <c r="BA52" s="200"/>
      <c r="BB52" s="200"/>
      <c r="BC52" s="200"/>
      <c r="BD52" s="200"/>
      <c r="BE52" s="3"/>
      <c r="BG52" s="200" t="str" cm="1">
        <f t="array" aca="1" ref="BG52" ca="1">INDEX(Helper!$E$13:$E$22, OFFSET(Helper!$J$13,$B52,BG$2))</f>
        <v>Shift Down</v>
      </c>
      <c r="BH52" s="200"/>
      <c r="BI52" s="200"/>
      <c r="BJ52" s="200"/>
      <c r="BK52" s="200"/>
      <c r="BL52" s="3"/>
      <c r="BM52" s="3"/>
      <c r="BN52" s="200" t="str" cm="1">
        <f t="array" aca="1" ref="BN52" ca="1">INDEX(Helper!$E$13:$E$22, OFFSET(Helper!$J$13,$B52,BN$2))</f>
        <v>90 CCW</v>
      </c>
      <c r="BO52" s="200"/>
      <c r="BP52" s="200"/>
      <c r="BQ52" s="200"/>
      <c r="BR52" s="200"/>
      <c r="BS52" s="3"/>
      <c r="BU52" s="200" t="str" cm="1">
        <f t="array" aca="1" ref="BU52" ca="1">INDEX(Helper!$E$13:$E$22, OFFSET(Helper!$J$13,$B52,BU$2))</f>
        <v>Noise</v>
      </c>
      <c r="BV52" s="200"/>
      <c r="BW52" s="200"/>
      <c r="BX52" s="200"/>
      <c r="BY52" s="200"/>
      <c r="CA52" s="29"/>
    </row>
    <row r="53" spans="1:79" s="1" customFormat="1" ht="18" customHeight="1" x14ac:dyDescent="0.2">
      <c r="A53" s="7"/>
      <c r="B53" s="202"/>
      <c r="C53" s="4">
        <v>0.470511175014594</v>
      </c>
      <c r="D53" s="5">
        <v>1</v>
      </c>
      <c r="E53" s="5">
        <v>1</v>
      </c>
      <c r="F53" s="5">
        <v>1</v>
      </c>
      <c r="G53" s="6">
        <v>0.48322132019641195</v>
      </c>
      <c r="H53" s="3"/>
      <c r="I53" s="3"/>
      <c r="J53" s="4" cm="1">
        <f t="array" aca="1" ref="J53:N57" ca="1">_xlfn.IFS(J52="None",  $C53:$G57*0,           J52="Horizontal Flip", INDEX($C53:$G57, _xlfn.SEQUENCE(5), 6 - _xlfn.SEQUENCE(1,5)),        J52="Vertical Flip", INDEX($C53:$G57, 6 - _xlfn.SEQUENCE(5), _xlfn.SEQUENCE(1,5)),      J52="180 Rotation", INDEX($C53:$G57, 6 - _xlfn.SEQUENCE(5), 6 - _xlfn.SEQUENCE(1,5)),        J52="90 CW", INDEX($C53:$G57, 6 - _xlfn.SEQUENCE(1,5), _xlfn.SEQUENCE(5)),          J52="90 CCW", INDEX($C53:$G57, _xlfn.SEQUENCE(1,5), 6 - _xlfn.SEQUENCE(5)),         J52="Shift Up", IF(_xlfn.SEQUENCE(5)+1&lt;=5, INDEX($C53:$G57, _xlfn.SEQUENCE(5)+1, _xlfn.SEQUENCE(1,5)), 0),         J52="Shift Down", IF(_xlfn.SEQUENCE(5)-1&gt;=1, INDEX($C53:$G57, _xlfn.SEQUENCE(5)-1, _xlfn.SEQUENCE(1,5)), 0),         J52="Shift Left",   IF(_xlfn.SEQUENCE(1,5)+1&lt;=5, INDEX($C53:$G57, _xlfn.SEQUENCE(5), _xlfn.SEQUENCE(1,5)+1),0),         J52= "Shift Right",  IF(_xlfn.SEQUENCE(1,5)-1&gt;=1, INDEX($C53:$G57, _xlfn.SEQUENCE(5), _xlfn.SEQUENCE(1,5)-1), 0),        J52="Noise",  _xlfn.MAP($C53:$G57 + (_xlfn.RANDARRAY(ROWS($C53:$G57), COLUMNS($C53:$G57)) - 0.5) * 0.4, _xlfn.LAMBDA(_xlpm.x, MAX(0, MIN(1, _xlpm.x)))))</f>
        <v>0.24099404484760434</v>
      </c>
      <c r="K53" s="5">
        <f ca="1"/>
        <v>1</v>
      </c>
      <c r="L53" s="5">
        <f ca="1"/>
        <v>0.51041624149965437</v>
      </c>
      <c r="M53" s="5">
        <f ca="1"/>
        <v>0.5774628583375494</v>
      </c>
      <c r="N53" s="6">
        <f ca="1"/>
        <v>0.32833756171622042</v>
      </c>
      <c r="O53" s="3"/>
      <c r="P53" s="3"/>
      <c r="Q53" s="4" cm="1">
        <f t="array" aca="1" ref="Q53:U57" ca="1">_xlfn.IFS(Q52="None",  $C53:$G57*0,           Q52="Horizontal Flip", INDEX($C53:$G57, _xlfn.SEQUENCE(5), 6 - _xlfn.SEQUENCE(1,5)),        Q52="Vertical Flip", INDEX($C53:$G57, 6 - _xlfn.SEQUENCE(5), _xlfn.SEQUENCE(1,5)),      Q52="180 Rotation", INDEX($C53:$G57, 6 - _xlfn.SEQUENCE(5), 6 - _xlfn.SEQUENCE(1,5)),        Q52="90 CW", INDEX($C53:$G57, 6 - _xlfn.SEQUENCE(1,5), _xlfn.SEQUENCE(5)),          Q52="90 CCW", INDEX($C53:$G57, _xlfn.SEQUENCE(1,5), 6 - _xlfn.SEQUENCE(5)),         Q52="Shift Up", IF(_xlfn.SEQUENCE(5)+1&lt;=5, INDEX($C53:$G57, _xlfn.SEQUENCE(5)+1, _xlfn.SEQUENCE(1,5)), 0),         Q52="Shift Down", IF(_xlfn.SEQUENCE(5)-1&gt;=1, INDEX($C53:$G57, _xlfn.SEQUENCE(5)-1, _xlfn.SEQUENCE(1,5)), 0),         Q52="Shift Left",   IF(_xlfn.SEQUENCE(1,5)+1&lt;=5, INDEX($C53:$G57, _xlfn.SEQUENCE(5), _xlfn.SEQUENCE(1,5)+1),0),         Q52= "Shift Right",  IF(_xlfn.SEQUENCE(1,5)-1&gt;=1, INDEX($C53:$G57, _xlfn.SEQUENCE(5), _xlfn.SEQUENCE(1,5)-1), 0),        Q52="Noise",  _xlfn.MAP($C53:$G57 + (_xlfn.RANDARRAY(ROWS($C53:$G57), COLUMNS($C53:$G57)) - 0.5) * 0.4, _xlfn.LAMBDA(_xlpm.x, MAX(0, MIN(1, _xlpm.x)))))</f>
        <v>0.48322132019641195</v>
      </c>
      <c r="R53" s="5">
        <f ca="1"/>
        <v>1</v>
      </c>
      <c r="S53" s="5">
        <f ca="1"/>
        <v>1</v>
      </c>
      <c r="T53" s="5">
        <f ca="1"/>
        <v>1</v>
      </c>
      <c r="U53" s="6">
        <f ca="1"/>
        <v>0.470511175014594</v>
      </c>
      <c r="V53" s="3"/>
      <c r="W53" s="3"/>
      <c r="X53" s="4" cm="1">
        <f t="array" aca="1" ref="X53:AB57" ca="1">_xlfn.IFS(X52="None",  $C53:$G57*0,           X52="Horizontal Flip", INDEX($C53:$G57, _xlfn.SEQUENCE(5), 6 - _xlfn.SEQUENCE(1,5)),        X52="Vertical Flip", INDEX($C53:$G57, 6 - _xlfn.SEQUENCE(5), _xlfn.SEQUENCE(1,5)),      X52="180 Rotation", INDEX($C53:$G57, 6 - _xlfn.SEQUENCE(5), 6 - _xlfn.SEQUENCE(1,5)),        X52="90 CW", INDEX($C53:$G57, 6 - _xlfn.SEQUENCE(1,5), _xlfn.SEQUENCE(5)),          X52="90 CCW", INDEX($C53:$G57, _xlfn.SEQUENCE(1,5), 6 - _xlfn.SEQUENCE(5)),         X52="Shift Up", IF(_xlfn.SEQUENCE(5)+1&lt;=5, INDEX($C53:$G57, _xlfn.SEQUENCE(5)+1, _xlfn.SEQUENCE(1,5)), 0),         X52="Shift Down", IF(_xlfn.SEQUENCE(5)-1&gt;=1, INDEX($C53:$G57, _xlfn.SEQUENCE(5)-1, _xlfn.SEQUENCE(1,5)), 0),         X52="Shift Left",   IF(_xlfn.SEQUENCE(1,5)+1&lt;=5, INDEX($C53:$G57, _xlfn.SEQUENCE(5), _xlfn.SEQUENCE(1,5)+1),0),         X52= "Shift Right",  IF(_xlfn.SEQUENCE(1,5)-1&gt;=1, INDEX($C53:$G57, _xlfn.SEQUENCE(5), _xlfn.SEQUENCE(1,5)-1), 0),        X52="Noise",  _xlfn.MAP($C53:$G57 + (_xlfn.RANDARRAY(ROWS($C53:$G57), COLUMNS($C53:$G57)) - 0.5) * 0.4, _xlfn.LAMBDA(_xlpm.x, MAX(0, MIN(1, _xlpm.x)))))</f>
        <v>0.57333694491603804</v>
      </c>
      <c r="Y53" s="5">
        <f ca="1"/>
        <v>0.35439587812026241</v>
      </c>
      <c r="Z53" s="5">
        <f ca="1"/>
        <v>0.63927824530118682</v>
      </c>
      <c r="AA53" s="5">
        <f ca="1"/>
        <v>1</v>
      </c>
      <c r="AB53" s="6">
        <f ca="1"/>
        <v>0.24257675112984123</v>
      </c>
      <c r="AC53" s="3"/>
      <c r="AD53" s="3"/>
      <c r="AE53" s="4" cm="1">
        <f t="array" aca="1" ref="AE53:AI57" ca="1">_xlfn.IFS(AE52="None",  $C53:$G57*0,           AE52="Horizontal Flip", INDEX($C53:$G57, _xlfn.SEQUENCE(5), 6 - _xlfn.SEQUENCE(1,5)),        AE52="Vertical Flip", INDEX($C53:$G57, 6 - _xlfn.SEQUENCE(5), _xlfn.SEQUENCE(1,5)),      AE52="180 Rotation", INDEX($C53:$G57, 6 - _xlfn.SEQUENCE(5), 6 - _xlfn.SEQUENCE(1,5)),        AE52="90 CW", INDEX($C53:$G57, 6 - _xlfn.SEQUENCE(1,5), _xlfn.SEQUENCE(5)),          AE52="90 CCW", INDEX($C53:$G57, _xlfn.SEQUENCE(1,5), 6 - _xlfn.SEQUENCE(5)),         AE52="Shift Up", IF(_xlfn.SEQUENCE(5)+1&lt;=5, INDEX($C53:$G57, _xlfn.SEQUENCE(5)+1, _xlfn.SEQUENCE(1,5)), 0),         AE52="Shift Down", IF(_xlfn.SEQUENCE(5)-1&gt;=1, INDEX($C53:$G57, _xlfn.SEQUENCE(5)-1, _xlfn.SEQUENCE(1,5)), 0),         AE52="Shift Left",   IF(_xlfn.SEQUENCE(1,5)+1&lt;=5, INDEX($C53:$G57, _xlfn.SEQUENCE(5), _xlfn.SEQUENCE(1,5)+1),0),         AE52= "Shift Right",  IF(_xlfn.SEQUENCE(1,5)-1&gt;=1, INDEX($C53:$G57, _xlfn.SEQUENCE(5), _xlfn.SEQUENCE(1,5)-1), 0),        AE52="Noise",  _xlfn.MAP($C53:$G57 + (_xlfn.RANDARRAY(ROWS($C53:$G57), COLUMNS($C53:$G57)) - 0.5) * 0.4, _xlfn.LAMBDA(_xlpm.x, MAX(0, MIN(1, _xlpm.x)))))</f>
        <v>0.32833756171622042</v>
      </c>
      <c r="AF53" s="5">
        <f ca="1"/>
        <v>0.65436952533524595</v>
      </c>
      <c r="AG53" s="5">
        <f ca="1"/>
        <v>0.75499935792337303</v>
      </c>
      <c r="AH53" s="5">
        <f ca="1"/>
        <v>0.57333694491603804</v>
      </c>
      <c r="AI53" s="6">
        <f ca="1"/>
        <v>0.470511175014594</v>
      </c>
      <c r="AJ53" s="3"/>
      <c r="AK53" s="3"/>
      <c r="AL53" s="4" cm="1">
        <f t="array" aca="1" ref="AL53:AP57" ca="1">_xlfn.IFS(AL52="None",  $C53:$G57*0,           AL52="Horizontal Flip", INDEX($C53:$G57, _xlfn.SEQUENCE(5), 6 - _xlfn.SEQUENCE(1,5)),        AL52="Vertical Flip", INDEX($C53:$G57, 6 - _xlfn.SEQUENCE(5), _xlfn.SEQUENCE(1,5)),      AL52="180 Rotation", INDEX($C53:$G57, 6 - _xlfn.SEQUENCE(5), 6 - _xlfn.SEQUENCE(1,5)),        AL52="90 CW", INDEX($C53:$G57, 6 - _xlfn.SEQUENCE(1,5), _xlfn.SEQUENCE(5)),          AL52="90 CCW", INDEX($C53:$G57, _xlfn.SEQUENCE(1,5), 6 - _xlfn.SEQUENCE(5)),         AL52="Shift Up", IF(_xlfn.SEQUENCE(5)+1&lt;=5, INDEX($C53:$G57, _xlfn.SEQUENCE(5)+1, _xlfn.SEQUENCE(1,5)), 0),         AL52="Shift Down", IF(_xlfn.SEQUENCE(5)-1&gt;=1, INDEX($C53:$G57, _xlfn.SEQUENCE(5)-1, _xlfn.SEQUENCE(1,5)), 0),         AL52="Shift Left",   IF(_xlfn.SEQUENCE(1,5)+1&lt;=5, INDEX($C53:$G57, _xlfn.SEQUENCE(5), _xlfn.SEQUENCE(1,5)+1),0),         AL52= "Shift Right",  IF(_xlfn.SEQUENCE(1,5)-1&gt;=1, INDEX($C53:$G57, _xlfn.SEQUENCE(5), _xlfn.SEQUENCE(1,5)-1), 0),        AL52="Noise",  _xlfn.MAP($C53:$G57 + (_xlfn.RANDARRAY(ROWS($C53:$G57), COLUMNS($C53:$G57)) - 0.5) * 0.4, _xlfn.LAMBDA(_xlpm.x, MAX(0, MIN(1, _xlpm.x)))))</f>
        <v>0.32833756171622042</v>
      </c>
      <c r="AM53" s="5">
        <f ca="1"/>
        <v>0.5774628583375494</v>
      </c>
      <c r="AN53" s="5">
        <f ca="1"/>
        <v>0.51041624149965437</v>
      </c>
      <c r="AO53" s="5">
        <f ca="1"/>
        <v>1</v>
      </c>
      <c r="AP53" s="6">
        <f ca="1"/>
        <v>0.24099404484760434</v>
      </c>
      <c r="AQ53" s="3"/>
      <c r="AR53" s="3"/>
      <c r="AS53" s="4" cm="1">
        <f t="array" aca="1" ref="AS53:AW57" ca="1">_xlfn.IFS(AS52="None",  $C53:$G57*0,           AS52="Horizontal Flip", INDEX($C53:$G57, _xlfn.SEQUENCE(5), 6 - _xlfn.SEQUENCE(1,5)),        AS52="Vertical Flip", INDEX($C53:$G57, 6 - _xlfn.SEQUENCE(5), _xlfn.SEQUENCE(1,5)),      AS52="180 Rotation", INDEX($C53:$G57, 6 - _xlfn.SEQUENCE(5), 6 - _xlfn.SEQUENCE(1,5)),        AS52="90 CW", INDEX($C53:$G57, 6 - _xlfn.SEQUENCE(1,5), _xlfn.SEQUENCE(5)),          AS52="90 CCW", INDEX($C53:$G57, _xlfn.SEQUENCE(1,5), 6 - _xlfn.SEQUENCE(5)),         AS52="Shift Up", IF(_xlfn.SEQUENCE(5)+1&lt;=5, INDEX($C53:$G57, _xlfn.SEQUENCE(5)+1, _xlfn.SEQUENCE(1,5)), 0),         AS52="Shift Down", IF(_xlfn.SEQUENCE(5)-1&gt;=1, INDEX($C53:$G57, _xlfn.SEQUENCE(5)-1, _xlfn.SEQUENCE(1,5)), 0),         AS52="Shift Left",   IF(_xlfn.SEQUENCE(1,5)+1&lt;=5, INDEX($C53:$G57, _xlfn.SEQUENCE(5), _xlfn.SEQUENCE(1,5)+1),0),         AS52= "Shift Right",  IF(_xlfn.SEQUENCE(1,5)-1&gt;=1, INDEX($C53:$G57, _xlfn.SEQUENCE(5), _xlfn.SEQUENCE(1,5)-1), 0),        AS52="Noise",  _xlfn.MAP($C53:$G57 + (_xlfn.RANDARRAY(ROWS($C53:$G57), COLUMNS($C53:$G57)) - 0.5) * 0.4, _xlfn.LAMBDA(_xlpm.x, MAX(0, MIN(1, _xlpm.x)))))</f>
        <v>0</v>
      </c>
      <c r="AT53" s="5">
        <f ca="1"/>
        <v>0.470511175014594</v>
      </c>
      <c r="AU53" s="5">
        <f ca="1"/>
        <v>1</v>
      </c>
      <c r="AV53" s="5">
        <f ca="1"/>
        <v>1</v>
      </c>
      <c r="AW53" s="6">
        <f ca="1"/>
        <v>1</v>
      </c>
      <c r="AX53" s="3"/>
      <c r="AY53" s="3"/>
      <c r="AZ53" s="4" cm="1">
        <f t="array" aca="1" ref="AZ53:BD57" ca="1">_xlfn.IFS(AZ52="None",  $C53:$G57*0,           AZ52="Horizontal Flip", INDEX($C53:$G57, _xlfn.SEQUENCE(5), 6 - _xlfn.SEQUENCE(1,5)),        AZ52="Vertical Flip", INDEX($C53:$G57, 6 - _xlfn.SEQUENCE(5), _xlfn.SEQUENCE(1,5)),      AZ52="180 Rotation", INDEX($C53:$G57, 6 - _xlfn.SEQUENCE(5), 6 - _xlfn.SEQUENCE(1,5)),        AZ52="90 CW", INDEX($C53:$G57, 6 - _xlfn.SEQUENCE(1,5), _xlfn.SEQUENCE(5)),          AZ52="90 CCW", INDEX($C53:$G57, _xlfn.SEQUENCE(1,5), 6 - _xlfn.SEQUENCE(5)),         AZ52="Shift Up", IF(_xlfn.SEQUENCE(5)+1&lt;=5, INDEX($C53:$G57, _xlfn.SEQUENCE(5)+1, _xlfn.SEQUENCE(1,5)), 0),         AZ52="Shift Down", IF(_xlfn.SEQUENCE(5)-1&gt;=1, INDEX($C53:$G57, _xlfn.SEQUENCE(5)-1, _xlfn.SEQUENCE(1,5)), 0),         AZ52="Shift Left",   IF(_xlfn.SEQUENCE(1,5)+1&lt;=5, INDEX($C53:$G57, _xlfn.SEQUENCE(5), _xlfn.SEQUENCE(1,5)+1),0),         AZ52= "Shift Right",  IF(_xlfn.SEQUENCE(1,5)-1&gt;=1, INDEX($C53:$G57, _xlfn.SEQUENCE(5), _xlfn.SEQUENCE(1,5)-1), 0),        AZ52="Noise",  _xlfn.MAP($C53:$G57 + (_xlfn.RANDARRAY(ROWS($C53:$G57), COLUMNS($C53:$G57)) - 0.5) * 0.4, _xlfn.LAMBDA(_xlpm.x, MAX(0, MIN(1, _xlpm.x)))))</f>
        <v>1</v>
      </c>
      <c r="BA53" s="5">
        <f ca="1"/>
        <v>1</v>
      </c>
      <c r="BB53" s="5">
        <f ca="1"/>
        <v>1</v>
      </c>
      <c r="BC53" s="5">
        <f ca="1"/>
        <v>0.48322132019641195</v>
      </c>
      <c r="BD53" s="6">
        <f ca="1"/>
        <v>0</v>
      </c>
      <c r="BE53" s="3"/>
      <c r="BG53" s="4" cm="1">
        <f t="array" aca="1" ref="BG53:BK57" ca="1">_xlfn.IFS(BG52="None",  $C53:$G57*0,           BG52="Horizontal Flip", INDEX($C53:$G57, _xlfn.SEQUENCE(5), 6 - _xlfn.SEQUENCE(1,5)),        BG52="Vertical Flip", INDEX($C53:$G57, 6 - _xlfn.SEQUENCE(5), _xlfn.SEQUENCE(1,5)),      BG52="180 Rotation", INDEX($C53:$G57, 6 - _xlfn.SEQUENCE(5), 6 - _xlfn.SEQUENCE(1,5)),        BG52="90 CW", INDEX($C53:$G57, 6 - _xlfn.SEQUENCE(1,5), _xlfn.SEQUENCE(5)),          BG52="90 CCW", INDEX($C53:$G57, _xlfn.SEQUENCE(1,5), 6 - _xlfn.SEQUENCE(5)),         BG52="Shift Up", IF(_xlfn.SEQUENCE(5)+1&lt;=5, INDEX($C53:$G57, _xlfn.SEQUENCE(5)+1, _xlfn.SEQUENCE(1,5)), 0),         BG52="Shift Down", IF(_xlfn.SEQUENCE(5)-1&gt;=1, INDEX($C53:$G57, _xlfn.SEQUENCE(5)-1, _xlfn.SEQUENCE(1,5)), 0),         BG52="Shift Left",   IF(_xlfn.SEQUENCE(1,5)+1&lt;=5, INDEX($C53:$G57, _xlfn.SEQUENCE(5), _xlfn.SEQUENCE(1,5)+1),0),         BG52= "Shift Right",  IF(_xlfn.SEQUENCE(1,5)-1&gt;=1, INDEX($C53:$G57, _xlfn.SEQUENCE(5), _xlfn.SEQUENCE(1,5)-1), 0),        BG52="Noise",  _xlfn.MAP($C53:$G57 + (_xlfn.RANDARRAY(ROWS($C53:$G57), COLUMNS($C53:$G57)) - 0.5) * 0.4, _xlfn.LAMBDA(_xlpm.x, MAX(0, MIN(1, _xlpm.x)))))</f>
        <v>0</v>
      </c>
      <c r="BH53" s="5">
        <f ca="1"/>
        <v>0</v>
      </c>
      <c r="BI53" s="5">
        <f ca="1"/>
        <v>0</v>
      </c>
      <c r="BJ53" s="5">
        <f ca="1"/>
        <v>0</v>
      </c>
      <c r="BK53" s="6">
        <f ca="1"/>
        <v>0</v>
      </c>
      <c r="BL53" s="3"/>
      <c r="BM53" s="3"/>
      <c r="BN53" s="4" cm="1">
        <f t="array" aca="1" ref="BN53:BR57" ca="1">_xlfn.IFS(BN52="None",  $C53:$G57*0,           BN52="Horizontal Flip", INDEX($C53:$G57, _xlfn.SEQUENCE(5), 6 - _xlfn.SEQUENCE(1,5)),        BN52="Vertical Flip", INDEX($C53:$G57, 6 - _xlfn.SEQUENCE(5), _xlfn.SEQUENCE(1,5)),      BN52="180 Rotation", INDEX($C53:$G57, 6 - _xlfn.SEQUENCE(5), 6 - _xlfn.SEQUENCE(1,5)),        BN52="90 CW", INDEX($C53:$G57, 6 - _xlfn.SEQUENCE(1,5), _xlfn.SEQUENCE(5)),          BN52="90 CCW", INDEX($C53:$G57, _xlfn.SEQUENCE(1,5), 6 - _xlfn.SEQUENCE(5)),         BN52="Shift Up", IF(_xlfn.SEQUENCE(5)+1&lt;=5, INDEX($C53:$G57, _xlfn.SEQUENCE(5)+1, _xlfn.SEQUENCE(1,5)), 0),         BN52="Shift Down", IF(_xlfn.SEQUENCE(5)-1&gt;=1, INDEX($C53:$G57, _xlfn.SEQUENCE(5)-1, _xlfn.SEQUENCE(1,5)), 0),         BN52="Shift Left",   IF(_xlfn.SEQUENCE(1,5)+1&lt;=5, INDEX($C53:$G57, _xlfn.SEQUENCE(5), _xlfn.SEQUENCE(1,5)+1),0),         BN52= "Shift Right",  IF(_xlfn.SEQUENCE(1,5)-1&gt;=1, INDEX($C53:$G57, _xlfn.SEQUENCE(5), _xlfn.SEQUENCE(1,5)-1), 0),        BN52="Noise",  _xlfn.MAP($C53:$G57 + (_xlfn.RANDARRAY(ROWS($C53:$G57), COLUMNS($C53:$G57)) - 0.5) * 0.4, _xlfn.LAMBDA(_xlpm.x, MAX(0, MIN(1, _xlpm.x)))))</f>
        <v>0.48322132019641195</v>
      </c>
      <c r="BO53" s="5">
        <f ca="1"/>
        <v>0.24257675112984123</v>
      </c>
      <c r="BP53" s="5">
        <f ca="1"/>
        <v>0.62005283827156232</v>
      </c>
      <c r="BQ53" s="5">
        <f ca="1"/>
        <v>0.22350221211105137</v>
      </c>
      <c r="BR53" s="6">
        <f ca="1"/>
        <v>0.24099404484760434</v>
      </c>
      <c r="BS53" s="3"/>
      <c r="BU53" s="4" cm="1">
        <f t="array" aca="1" ref="BU53:BY57" ca="1">_xlfn.IFS(BU52="None",  $C53:$G57*0,           BU52="Horizontal Flip", INDEX($C53:$G57, _xlfn.SEQUENCE(5), 6 - _xlfn.SEQUENCE(1,5)),        BU52="Vertical Flip", INDEX($C53:$G57, 6 - _xlfn.SEQUENCE(5), _xlfn.SEQUENCE(1,5)),      BU52="180 Rotation", INDEX($C53:$G57, 6 - _xlfn.SEQUENCE(5), 6 - _xlfn.SEQUENCE(1,5)),        BU52="90 CW", INDEX($C53:$G57, 6 - _xlfn.SEQUENCE(1,5), _xlfn.SEQUENCE(5)),          BU52="90 CCW", INDEX($C53:$G57, _xlfn.SEQUENCE(1,5), 6 - _xlfn.SEQUENCE(5)),         BU52="Shift Up", IF(_xlfn.SEQUENCE(5)+1&lt;=5, INDEX($C53:$G57, _xlfn.SEQUENCE(5)+1, _xlfn.SEQUENCE(1,5)), 0),         BU52="Shift Down", IF(_xlfn.SEQUENCE(5)-1&gt;=1, INDEX($C53:$G57, _xlfn.SEQUENCE(5)-1, _xlfn.SEQUENCE(1,5)), 0),         BU52="Shift Left",   IF(_xlfn.SEQUENCE(1,5)+1&lt;=5, INDEX($C53:$G57, _xlfn.SEQUENCE(5), _xlfn.SEQUENCE(1,5)+1),0),         BU52= "Shift Right",  IF(_xlfn.SEQUENCE(1,5)-1&gt;=1, INDEX($C53:$G57, _xlfn.SEQUENCE(5), _xlfn.SEQUENCE(1,5)-1), 0),        BU52="Noise",  _xlfn.MAP($C53:$G57 + (_xlfn.RANDARRAY(ROWS($C53:$G57), COLUMNS($C53:$G57)) - 0.5) * 0.4, _xlfn.LAMBDA(_xlpm.x, MAX(0, MIN(1, _xlpm.x)))))</f>
        <v>0.63540020101949102</v>
      </c>
      <c r="BV53" s="5">
        <f ca="1"/>
        <v>0.83972677931142714</v>
      </c>
      <c r="BW53" s="5">
        <f ca="1"/>
        <v>1</v>
      </c>
      <c r="BX53" s="5">
        <f ca="1"/>
        <v>0.81194773765679806</v>
      </c>
      <c r="BY53" s="6">
        <f ca="1"/>
        <v>0.66032248536241955</v>
      </c>
      <c r="CA53" s="29"/>
    </row>
    <row r="54" spans="1:79" s="1" customFormat="1" ht="18" customHeight="1" x14ac:dyDescent="0.2">
      <c r="A54" s="7"/>
      <c r="B54" s="202"/>
      <c r="C54" s="7">
        <v>0.57333694491603804</v>
      </c>
      <c r="D54" s="3">
        <v>0.35439587812026241</v>
      </c>
      <c r="E54" s="3">
        <v>0.63927824530118682</v>
      </c>
      <c r="F54" s="3">
        <v>1</v>
      </c>
      <c r="G54" s="8">
        <v>0.24257675112984123</v>
      </c>
      <c r="H54" s="3"/>
      <c r="I54" s="3"/>
      <c r="J54" s="7">
        <f ca="1"/>
        <v>0.22350221211105137</v>
      </c>
      <c r="K54" s="3">
        <f ca="1"/>
        <v>1</v>
      </c>
      <c r="L54" s="3">
        <f ca="1"/>
        <v>0.22312415919372053</v>
      </c>
      <c r="M54" s="3">
        <f ca="1"/>
        <v>0.32599199535962908</v>
      </c>
      <c r="N54" s="8">
        <f ca="1"/>
        <v>0.65436952533524595</v>
      </c>
      <c r="O54" s="3"/>
      <c r="P54" s="3"/>
      <c r="Q54" s="7">
        <f ca="1"/>
        <v>0.24257675112984123</v>
      </c>
      <c r="R54" s="3">
        <f ca="1"/>
        <v>1</v>
      </c>
      <c r="S54" s="3">
        <f ca="1"/>
        <v>0.63927824530118682</v>
      </c>
      <c r="T54" s="3">
        <f ca="1"/>
        <v>0.35439587812026241</v>
      </c>
      <c r="U54" s="8">
        <f ca="1"/>
        <v>0.57333694491603804</v>
      </c>
      <c r="V54" s="3"/>
      <c r="W54" s="3"/>
      <c r="X54" s="7">
        <f ca="1"/>
        <v>0.75499935792337303</v>
      </c>
      <c r="Y54" s="3">
        <f ca="1"/>
        <v>0.62467269752549093</v>
      </c>
      <c r="Z54" s="3">
        <f ca="1"/>
        <v>0.61091978164840366</v>
      </c>
      <c r="AA54" s="3">
        <f ca="1"/>
        <v>1</v>
      </c>
      <c r="AB54" s="8">
        <f ca="1"/>
        <v>0.62005283827156232</v>
      </c>
      <c r="AC54" s="3"/>
      <c r="AD54" s="3"/>
      <c r="AE54" s="7">
        <f ca="1"/>
        <v>0.5774628583375494</v>
      </c>
      <c r="AF54" s="3">
        <f ca="1"/>
        <v>0.32599199535962908</v>
      </c>
      <c r="AG54" s="3">
        <f ca="1"/>
        <v>0.62467269752549093</v>
      </c>
      <c r="AH54" s="3">
        <f ca="1"/>
        <v>0.35439587812026241</v>
      </c>
      <c r="AI54" s="8">
        <f ca="1"/>
        <v>1</v>
      </c>
      <c r="AJ54" s="3"/>
      <c r="AK54" s="3"/>
      <c r="AL54" s="7">
        <f ca="1"/>
        <v>0.65436952533524595</v>
      </c>
      <c r="AM54" s="3">
        <f ca="1"/>
        <v>0.32599199535962908</v>
      </c>
      <c r="AN54" s="3">
        <f ca="1"/>
        <v>0.22312415919372053</v>
      </c>
      <c r="AO54" s="3">
        <f ca="1"/>
        <v>1</v>
      </c>
      <c r="AP54" s="8">
        <f ca="1"/>
        <v>0.22350221211105137</v>
      </c>
      <c r="AQ54" s="3"/>
      <c r="AR54" s="3"/>
      <c r="AS54" s="7">
        <f ca="1"/>
        <v>0</v>
      </c>
      <c r="AT54" s="3">
        <f ca="1"/>
        <v>0.57333694491603804</v>
      </c>
      <c r="AU54" s="3">
        <f ca="1"/>
        <v>0.35439587812026241</v>
      </c>
      <c r="AV54" s="3">
        <f ca="1"/>
        <v>0.63927824530118682</v>
      </c>
      <c r="AW54" s="8">
        <f ca="1"/>
        <v>1</v>
      </c>
      <c r="AX54" s="3"/>
      <c r="AY54" s="3"/>
      <c r="AZ54" s="7">
        <f ca="1"/>
        <v>0.35439587812026241</v>
      </c>
      <c r="BA54" s="3">
        <f ca="1"/>
        <v>0.63927824530118682</v>
      </c>
      <c r="BB54" s="3">
        <f ca="1"/>
        <v>1</v>
      </c>
      <c r="BC54" s="3">
        <f ca="1"/>
        <v>0.24257675112984123</v>
      </c>
      <c r="BD54" s="8">
        <f ca="1"/>
        <v>0</v>
      </c>
      <c r="BE54" s="3"/>
      <c r="BG54" s="7">
        <f ca="1"/>
        <v>0.470511175014594</v>
      </c>
      <c r="BH54" s="3">
        <f ca="1"/>
        <v>1</v>
      </c>
      <c r="BI54" s="3">
        <f ca="1"/>
        <v>1</v>
      </c>
      <c r="BJ54" s="3">
        <f ca="1"/>
        <v>1</v>
      </c>
      <c r="BK54" s="8">
        <f ca="1"/>
        <v>0.48322132019641195</v>
      </c>
      <c r="BL54" s="3"/>
      <c r="BM54" s="3"/>
      <c r="BN54" s="7">
        <f ca="1"/>
        <v>1</v>
      </c>
      <c r="BO54" s="3">
        <f ca="1"/>
        <v>1</v>
      </c>
      <c r="BP54" s="3">
        <f ca="1"/>
        <v>1</v>
      </c>
      <c r="BQ54" s="3">
        <f ca="1"/>
        <v>1</v>
      </c>
      <c r="BR54" s="8">
        <f ca="1"/>
        <v>1</v>
      </c>
      <c r="BS54" s="3"/>
      <c r="BU54" s="7">
        <f ca="1"/>
        <v>0.7081357402995152</v>
      </c>
      <c r="BV54" s="3">
        <f ca="1"/>
        <v>0.3699725442530421</v>
      </c>
      <c r="BW54" s="3">
        <f ca="1"/>
        <v>0.6412350557528792</v>
      </c>
      <c r="BX54" s="3">
        <f ca="1"/>
        <v>1</v>
      </c>
      <c r="BY54" s="8">
        <f ca="1"/>
        <v>0.14086223005595899</v>
      </c>
      <c r="CA54" s="29"/>
    </row>
    <row r="55" spans="1:79" s="1" customFormat="1" ht="18" customHeight="1" x14ac:dyDescent="0.2">
      <c r="A55" s="7"/>
      <c r="B55" s="202"/>
      <c r="C55" s="7">
        <v>0.75499935792337303</v>
      </c>
      <c r="D55" s="3">
        <v>0.62467269752549093</v>
      </c>
      <c r="E55" s="3">
        <v>0.61091978164840366</v>
      </c>
      <c r="F55" s="3">
        <v>1</v>
      </c>
      <c r="G55" s="8">
        <v>0.62005283827156232</v>
      </c>
      <c r="H55" s="3"/>
      <c r="I55" s="3"/>
      <c r="J55" s="7">
        <f ca="1"/>
        <v>0.62005283827156232</v>
      </c>
      <c r="K55" s="3">
        <f ca="1"/>
        <v>1</v>
      </c>
      <c r="L55" s="3">
        <f ca="1"/>
        <v>0.61091978164840366</v>
      </c>
      <c r="M55" s="3">
        <f ca="1"/>
        <v>0.62467269752549093</v>
      </c>
      <c r="N55" s="8">
        <f ca="1"/>
        <v>0.75499935792337303</v>
      </c>
      <c r="O55" s="3"/>
      <c r="P55" s="3"/>
      <c r="Q55" s="7">
        <f ca="1"/>
        <v>0.62005283827156232</v>
      </c>
      <c r="R55" s="3">
        <f ca="1"/>
        <v>1</v>
      </c>
      <c r="S55" s="3">
        <f ca="1"/>
        <v>0.61091978164840366</v>
      </c>
      <c r="T55" s="3">
        <f ca="1"/>
        <v>0.62467269752549093</v>
      </c>
      <c r="U55" s="8">
        <f ca="1"/>
        <v>0.75499935792337303</v>
      </c>
      <c r="V55" s="3"/>
      <c r="W55" s="3"/>
      <c r="X55" s="7">
        <f ca="1"/>
        <v>0.65436952533524595</v>
      </c>
      <c r="Y55" s="3">
        <f ca="1"/>
        <v>0.32599199535962908</v>
      </c>
      <c r="Z55" s="3">
        <f ca="1"/>
        <v>0.22312415919372053</v>
      </c>
      <c r="AA55" s="3">
        <f ca="1"/>
        <v>1</v>
      </c>
      <c r="AB55" s="8">
        <f ca="1"/>
        <v>0.22350221211105137</v>
      </c>
      <c r="AC55" s="3"/>
      <c r="AD55" s="3"/>
      <c r="AE55" s="7">
        <f ca="1"/>
        <v>0.51041624149965437</v>
      </c>
      <c r="AF55" s="3">
        <f ca="1"/>
        <v>0.22312415919372053</v>
      </c>
      <c r="AG55" s="3">
        <f ca="1"/>
        <v>0.61091978164840366</v>
      </c>
      <c r="AH55" s="3">
        <f ca="1"/>
        <v>0.63927824530118682</v>
      </c>
      <c r="AI55" s="8">
        <f ca="1"/>
        <v>1</v>
      </c>
      <c r="AJ55" s="3"/>
      <c r="AK55" s="3"/>
      <c r="AL55" s="7">
        <f ca="1"/>
        <v>0.75499935792337303</v>
      </c>
      <c r="AM55" s="3">
        <f ca="1"/>
        <v>0.62467269752549093</v>
      </c>
      <c r="AN55" s="3">
        <f ca="1"/>
        <v>0.61091978164840366</v>
      </c>
      <c r="AO55" s="3">
        <f ca="1"/>
        <v>1</v>
      </c>
      <c r="AP55" s="8">
        <f ca="1"/>
        <v>0.62005283827156232</v>
      </c>
      <c r="AQ55" s="3"/>
      <c r="AR55" s="3"/>
      <c r="AS55" s="7">
        <f ca="1"/>
        <v>0</v>
      </c>
      <c r="AT55" s="3">
        <f ca="1"/>
        <v>0.75499935792337303</v>
      </c>
      <c r="AU55" s="3">
        <f ca="1"/>
        <v>0.62467269752549093</v>
      </c>
      <c r="AV55" s="3">
        <f ca="1"/>
        <v>0.61091978164840366</v>
      </c>
      <c r="AW55" s="8">
        <f ca="1"/>
        <v>1</v>
      </c>
      <c r="AX55" s="3"/>
      <c r="AY55" s="3"/>
      <c r="AZ55" s="7">
        <f ca="1"/>
        <v>0.62467269752549093</v>
      </c>
      <c r="BA55" s="3">
        <f ca="1"/>
        <v>0.61091978164840366</v>
      </c>
      <c r="BB55" s="3">
        <f ca="1"/>
        <v>1</v>
      </c>
      <c r="BC55" s="3">
        <f ca="1"/>
        <v>0.62005283827156232</v>
      </c>
      <c r="BD55" s="8">
        <f ca="1"/>
        <v>0</v>
      </c>
      <c r="BE55" s="3"/>
      <c r="BG55" s="7">
        <f ca="1"/>
        <v>0.57333694491603804</v>
      </c>
      <c r="BH55" s="3">
        <f ca="1"/>
        <v>0.35439587812026241</v>
      </c>
      <c r="BI55" s="3">
        <f ca="1"/>
        <v>0.63927824530118682</v>
      </c>
      <c r="BJ55" s="3">
        <f ca="1"/>
        <v>1</v>
      </c>
      <c r="BK55" s="8">
        <f ca="1"/>
        <v>0.24257675112984123</v>
      </c>
      <c r="BL55" s="3"/>
      <c r="BM55" s="3"/>
      <c r="BN55" s="7">
        <f ca="1"/>
        <v>1</v>
      </c>
      <c r="BO55" s="3">
        <f ca="1"/>
        <v>0.63927824530118682</v>
      </c>
      <c r="BP55" s="3">
        <f ca="1"/>
        <v>0.61091978164840366</v>
      </c>
      <c r="BQ55" s="3">
        <f ca="1"/>
        <v>0.22312415919372053</v>
      </c>
      <c r="BR55" s="8">
        <f ca="1"/>
        <v>0.51041624149965437</v>
      </c>
      <c r="BS55" s="3"/>
      <c r="BU55" s="7">
        <f ca="1"/>
        <v>0.64028753416680295</v>
      </c>
      <c r="BV55" s="3">
        <f ca="1"/>
        <v>0.52426715478662711</v>
      </c>
      <c r="BW55" s="3">
        <f ca="1"/>
        <v>0.79504410167354667</v>
      </c>
      <c r="BX55" s="3">
        <f ca="1"/>
        <v>0.85913682679294934</v>
      </c>
      <c r="BY55" s="8">
        <f ca="1"/>
        <v>0.49264764913637626</v>
      </c>
      <c r="CA55" s="29"/>
    </row>
    <row r="56" spans="1:79" s="1" customFormat="1" ht="18" customHeight="1" x14ac:dyDescent="0.2">
      <c r="A56" s="7"/>
      <c r="B56" s="202"/>
      <c r="C56" s="7">
        <v>0.65436952533524595</v>
      </c>
      <c r="D56" s="3">
        <v>0.32599199535962908</v>
      </c>
      <c r="E56" s="3">
        <v>0.22312415919372053</v>
      </c>
      <c r="F56" s="3">
        <v>1</v>
      </c>
      <c r="G56" s="8">
        <v>0.22350221211105137</v>
      </c>
      <c r="H56" s="3"/>
      <c r="I56" s="3"/>
      <c r="J56" s="7">
        <f ca="1"/>
        <v>0.24257675112984123</v>
      </c>
      <c r="K56" s="3">
        <f ca="1"/>
        <v>1</v>
      </c>
      <c r="L56" s="3">
        <f ca="1"/>
        <v>0.63927824530118682</v>
      </c>
      <c r="M56" s="3">
        <f ca="1"/>
        <v>0.35439587812026241</v>
      </c>
      <c r="N56" s="8">
        <f ca="1"/>
        <v>0.57333694491603804</v>
      </c>
      <c r="O56" s="3"/>
      <c r="P56" s="3"/>
      <c r="Q56" s="7">
        <f ca="1"/>
        <v>0.22350221211105137</v>
      </c>
      <c r="R56" s="3">
        <f ca="1"/>
        <v>1</v>
      </c>
      <c r="S56" s="3">
        <f ca="1"/>
        <v>0.22312415919372053</v>
      </c>
      <c r="T56" s="3">
        <f ca="1"/>
        <v>0.32599199535962908</v>
      </c>
      <c r="U56" s="8">
        <f ca="1"/>
        <v>0.65436952533524595</v>
      </c>
      <c r="V56" s="3"/>
      <c r="W56" s="3"/>
      <c r="X56" s="7">
        <f ca="1"/>
        <v>0.32833756171622042</v>
      </c>
      <c r="Y56" s="3">
        <f ca="1"/>
        <v>0.5774628583375494</v>
      </c>
      <c r="Z56" s="3">
        <f ca="1"/>
        <v>0.51041624149965437</v>
      </c>
      <c r="AA56" s="3">
        <f ca="1"/>
        <v>1</v>
      </c>
      <c r="AB56" s="8">
        <f ca="1"/>
        <v>0.24099404484760434</v>
      </c>
      <c r="AC56" s="3"/>
      <c r="AD56" s="3"/>
      <c r="AE56" s="7">
        <f ca="1"/>
        <v>1</v>
      </c>
      <c r="AF56" s="3">
        <f ca="1"/>
        <v>1</v>
      </c>
      <c r="AG56" s="3">
        <f ca="1"/>
        <v>1</v>
      </c>
      <c r="AH56" s="3">
        <f ca="1"/>
        <v>1</v>
      </c>
      <c r="AI56" s="8">
        <f ca="1"/>
        <v>1</v>
      </c>
      <c r="AJ56" s="3"/>
      <c r="AK56" s="3"/>
      <c r="AL56" s="7">
        <f ca="1"/>
        <v>0.57333694491603804</v>
      </c>
      <c r="AM56" s="3">
        <f ca="1"/>
        <v>0.35439587812026241</v>
      </c>
      <c r="AN56" s="3">
        <f ca="1"/>
        <v>0.63927824530118682</v>
      </c>
      <c r="AO56" s="3">
        <f ca="1"/>
        <v>1</v>
      </c>
      <c r="AP56" s="8">
        <f ca="1"/>
        <v>0.24257675112984123</v>
      </c>
      <c r="AQ56" s="3"/>
      <c r="AR56" s="3"/>
      <c r="AS56" s="7">
        <f ca="1"/>
        <v>0</v>
      </c>
      <c r="AT56" s="3">
        <f ca="1"/>
        <v>0.65436952533524595</v>
      </c>
      <c r="AU56" s="3">
        <f ca="1"/>
        <v>0.32599199535962908</v>
      </c>
      <c r="AV56" s="3">
        <f ca="1"/>
        <v>0.22312415919372053</v>
      </c>
      <c r="AW56" s="8">
        <f ca="1"/>
        <v>1</v>
      </c>
      <c r="AX56" s="3"/>
      <c r="AY56" s="3"/>
      <c r="AZ56" s="7">
        <f ca="1"/>
        <v>0.32599199535962908</v>
      </c>
      <c r="BA56" s="3">
        <f ca="1"/>
        <v>0.22312415919372053</v>
      </c>
      <c r="BB56" s="3">
        <f ca="1"/>
        <v>1</v>
      </c>
      <c r="BC56" s="3">
        <f ca="1"/>
        <v>0.22350221211105137</v>
      </c>
      <c r="BD56" s="8">
        <f ca="1"/>
        <v>0</v>
      </c>
      <c r="BE56" s="3"/>
      <c r="BG56" s="7">
        <f ca="1"/>
        <v>0.75499935792337303</v>
      </c>
      <c r="BH56" s="3">
        <f ca="1"/>
        <v>0.62467269752549093</v>
      </c>
      <c r="BI56" s="3">
        <f ca="1"/>
        <v>0.61091978164840366</v>
      </c>
      <c r="BJ56" s="3">
        <f ca="1"/>
        <v>1</v>
      </c>
      <c r="BK56" s="8">
        <f ca="1"/>
        <v>0.62005283827156232</v>
      </c>
      <c r="BL56" s="3"/>
      <c r="BM56" s="3"/>
      <c r="BN56" s="7">
        <f ca="1"/>
        <v>1</v>
      </c>
      <c r="BO56" s="3">
        <f ca="1"/>
        <v>0.35439587812026241</v>
      </c>
      <c r="BP56" s="3">
        <f ca="1"/>
        <v>0.62467269752549093</v>
      </c>
      <c r="BQ56" s="3">
        <f ca="1"/>
        <v>0.32599199535962908</v>
      </c>
      <c r="BR56" s="8">
        <f ca="1"/>
        <v>0.5774628583375494</v>
      </c>
      <c r="BS56" s="3"/>
      <c r="BU56" s="7">
        <f ca="1"/>
        <v>0.80271937840833774</v>
      </c>
      <c r="BV56" s="3">
        <f ca="1"/>
        <v>0.28417329301270744</v>
      </c>
      <c r="BW56" s="3">
        <f ca="1"/>
        <v>0.13841388803775223</v>
      </c>
      <c r="BX56" s="3">
        <f ca="1"/>
        <v>1</v>
      </c>
      <c r="BY56" s="8">
        <f ca="1"/>
        <v>0.24085159253750449</v>
      </c>
      <c r="CA56" s="29"/>
    </row>
    <row r="57" spans="1:79" s="1" customFormat="1" ht="18" customHeight="1" thickBot="1" x14ac:dyDescent="0.25">
      <c r="A57" s="7"/>
      <c r="B57" s="202"/>
      <c r="C57" s="9">
        <v>0.32833756171622042</v>
      </c>
      <c r="D57" s="10">
        <v>0.5774628583375494</v>
      </c>
      <c r="E57" s="10">
        <v>0.51041624149965437</v>
      </c>
      <c r="F57" s="10">
        <v>1</v>
      </c>
      <c r="G57" s="11">
        <v>0.24099404484760434</v>
      </c>
      <c r="H57" s="3"/>
      <c r="I57" s="3"/>
      <c r="J57" s="9">
        <f ca="1"/>
        <v>0.48322132019641195</v>
      </c>
      <c r="K57" s="10">
        <f ca="1"/>
        <v>1</v>
      </c>
      <c r="L57" s="10">
        <f ca="1"/>
        <v>1</v>
      </c>
      <c r="M57" s="10">
        <f ca="1"/>
        <v>1</v>
      </c>
      <c r="N57" s="11">
        <f ca="1"/>
        <v>0.470511175014594</v>
      </c>
      <c r="O57" s="3"/>
      <c r="P57" s="3"/>
      <c r="Q57" s="9">
        <f ca="1"/>
        <v>0.24099404484760434</v>
      </c>
      <c r="R57" s="10">
        <f ca="1"/>
        <v>1</v>
      </c>
      <c r="S57" s="10">
        <f ca="1"/>
        <v>0.51041624149965437</v>
      </c>
      <c r="T57" s="10">
        <f ca="1"/>
        <v>0.5774628583375494</v>
      </c>
      <c r="U57" s="11">
        <f ca="1"/>
        <v>0.32833756171622042</v>
      </c>
      <c r="V57" s="3"/>
      <c r="W57" s="3"/>
      <c r="X57" s="9">
        <f ca="1"/>
        <v>0</v>
      </c>
      <c r="Y57" s="10">
        <f ca="1"/>
        <v>0</v>
      </c>
      <c r="Z57" s="10">
        <f ca="1"/>
        <v>0</v>
      </c>
      <c r="AA57" s="10">
        <f ca="1"/>
        <v>0</v>
      </c>
      <c r="AB57" s="11">
        <f ca="1"/>
        <v>0</v>
      </c>
      <c r="AC57" s="3"/>
      <c r="AD57" s="3"/>
      <c r="AE57" s="9">
        <f ca="1"/>
        <v>0.24099404484760434</v>
      </c>
      <c r="AF57" s="10">
        <f ca="1"/>
        <v>0.22350221211105137</v>
      </c>
      <c r="AG57" s="10">
        <f ca="1"/>
        <v>0.62005283827156232</v>
      </c>
      <c r="AH57" s="10">
        <f ca="1"/>
        <v>0.24257675112984123</v>
      </c>
      <c r="AI57" s="11">
        <f ca="1"/>
        <v>0.48322132019641195</v>
      </c>
      <c r="AJ57" s="3"/>
      <c r="AK57" s="3"/>
      <c r="AL57" s="9">
        <f ca="1"/>
        <v>0.470511175014594</v>
      </c>
      <c r="AM57" s="10">
        <f ca="1"/>
        <v>1</v>
      </c>
      <c r="AN57" s="10">
        <f ca="1"/>
        <v>1</v>
      </c>
      <c r="AO57" s="10">
        <f ca="1"/>
        <v>1</v>
      </c>
      <c r="AP57" s="11">
        <f ca="1"/>
        <v>0.48322132019641195</v>
      </c>
      <c r="AQ57" s="3"/>
      <c r="AR57" s="3"/>
      <c r="AS57" s="9">
        <f ca="1"/>
        <v>0</v>
      </c>
      <c r="AT57" s="10">
        <f ca="1"/>
        <v>0.32833756171622042</v>
      </c>
      <c r="AU57" s="10">
        <f ca="1"/>
        <v>0.5774628583375494</v>
      </c>
      <c r="AV57" s="10">
        <f ca="1"/>
        <v>0.51041624149965437</v>
      </c>
      <c r="AW57" s="11">
        <f ca="1"/>
        <v>1</v>
      </c>
      <c r="AX57" s="3"/>
      <c r="AY57" s="3"/>
      <c r="AZ57" s="9">
        <f ca="1"/>
        <v>0.5774628583375494</v>
      </c>
      <c r="BA57" s="10">
        <f ca="1"/>
        <v>0.51041624149965437</v>
      </c>
      <c r="BB57" s="10">
        <f ca="1"/>
        <v>1</v>
      </c>
      <c r="BC57" s="10">
        <f ca="1"/>
        <v>0.24099404484760434</v>
      </c>
      <c r="BD57" s="11">
        <f ca="1"/>
        <v>0</v>
      </c>
      <c r="BE57" s="3"/>
      <c r="BG57" s="9">
        <f ca="1"/>
        <v>0.65436952533524595</v>
      </c>
      <c r="BH57" s="10">
        <f ca="1"/>
        <v>0.32599199535962908</v>
      </c>
      <c r="BI57" s="10">
        <f ca="1"/>
        <v>0.22312415919372053</v>
      </c>
      <c r="BJ57" s="10">
        <f ca="1"/>
        <v>1</v>
      </c>
      <c r="BK57" s="11">
        <f ca="1"/>
        <v>0.22350221211105137</v>
      </c>
      <c r="BL57" s="3"/>
      <c r="BM57" s="3"/>
      <c r="BN57" s="9">
        <f ca="1"/>
        <v>0.470511175014594</v>
      </c>
      <c r="BO57" s="10">
        <f ca="1"/>
        <v>0.57333694491603804</v>
      </c>
      <c r="BP57" s="10">
        <f ca="1"/>
        <v>0.75499935792337303</v>
      </c>
      <c r="BQ57" s="10">
        <f ca="1"/>
        <v>0.65436952533524595</v>
      </c>
      <c r="BR57" s="11">
        <f ca="1"/>
        <v>0.32833756171622042</v>
      </c>
      <c r="BS57" s="3"/>
      <c r="BU57" s="9">
        <f ca="1"/>
        <v>0.37223149288637564</v>
      </c>
      <c r="BV57" s="10">
        <f ca="1"/>
        <v>0.49889386309249278</v>
      </c>
      <c r="BW57" s="10">
        <f ca="1"/>
        <v>0.52223393021707976</v>
      </c>
      <c r="BX57" s="10">
        <f ca="1"/>
        <v>0.93976022415157912</v>
      </c>
      <c r="BY57" s="11">
        <f ca="1"/>
        <v>0.31686639506688052</v>
      </c>
      <c r="CA57" s="29"/>
    </row>
    <row r="58" spans="1:79" s="1" customFormat="1" ht="18" customHeight="1" x14ac:dyDescent="0.2">
      <c r="A58" s="7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U58" s="3"/>
      <c r="BV58" s="3"/>
      <c r="BW58" s="3"/>
      <c r="BX58" s="3"/>
      <c r="BY58" s="3"/>
      <c r="CA58" s="29"/>
    </row>
    <row r="59" spans="1:79" s="1" customFormat="1" ht="18" customHeight="1" thickBot="1" x14ac:dyDescent="0.25">
      <c r="A59" s="7"/>
      <c r="B59" s="202">
        <v>8</v>
      </c>
      <c r="C59" s="200" t="s">
        <v>9</v>
      </c>
      <c r="D59" s="200"/>
      <c r="E59" s="200"/>
      <c r="F59" s="200"/>
      <c r="G59" s="200"/>
      <c r="H59" s="28"/>
      <c r="I59" s="3"/>
      <c r="J59" s="200" t="str" cm="1">
        <f t="array" aca="1" ref="J59" ca="1">INDEX(Helper!$E$13:$E$22, OFFSET(Helper!$J$13,$B59,J$2))</f>
        <v>Shift Left</v>
      </c>
      <c r="K59" s="200"/>
      <c r="L59" s="200"/>
      <c r="M59" s="200"/>
      <c r="N59" s="200"/>
      <c r="O59" s="3"/>
      <c r="P59" s="3"/>
      <c r="Q59" s="200" t="str" cm="1">
        <f t="array" aca="1" ref="Q59" ca="1">INDEX(Helper!$E$13:$E$22, OFFSET(Helper!$J$13,$B59,Q$2))</f>
        <v>Vertical Flip</v>
      </c>
      <c r="R59" s="200"/>
      <c r="S59" s="200"/>
      <c r="T59" s="200"/>
      <c r="U59" s="200"/>
      <c r="V59" s="3"/>
      <c r="W59" s="3"/>
      <c r="X59" s="200" t="str" cm="1">
        <f t="array" aca="1" ref="X59" ca="1">INDEX(Helper!$E$13:$E$22, OFFSET(Helper!$J$13,$B59,X$2))</f>
        <v>Shift Down</v>
      </c>
      <c r="Y59" s="200"/>
      <c r="Z59" s="200"/>
      <c r="AA59" s="200"/>
      <c r="AB59" s="200"/>
      <c r="AC59" s="3"/>
      <c r="AD59" s="3"/>
      <c r="AE59" s="200" t="str" cm="1">
        <f t="array" aca="1" ref="AE59" ca="1">INDEX(Helper!$E$13:$E$22, OFFSET(Helper!$J$13,$B59,AE$2))</f>
        <v>Shift Up</v>
      </c>
      <c r="AF59" s="200"/>
      <c r="AG59" s="200"/>
      <c r="AH59" s="200"/>
      <c r="AI59" s="200"/>
      <c r="AJ59" s="3"/>
      <c r="AK59" s="3"/>
      <c r="AL59" s="200" t="str" cm="1">
        <f t="array" aca="1" ref="AL59" ca="1">INDEX(Helper!$E$13:$E$22, OFFSET(Helper!$J$13,$B59,AL$2))</f>
        <v>90 CCW</v>
      </c>
      <c r="AM59" s="200"/>
      <c r="AN59" s="200"/>
      <c r="AO59" s="200"/>
      <c r="AP59" s="200"/>
      <c r="AQ59" s="3"/>
      <c r="AR59" s="3"/>
      <c r="AS59" s="200" t="str" cm="1">
        <f t="array" aca="1" ref="AS59" ca="1">INDEX(Helper!$E$13:$E$22, OFFSET(Helper!$J$13,$B59,AS$2))</f>
        <v>Shift Right</v>
      </c>
      <c r="AT59" s="200"/>
      <c r="AU59" s="200"/>
      <c r="AV59" s="200"/>
      <c r="AW59" s="200"/>
      <c r="AX59" s="3"/>
      <c r="AY59" s="3"/>
      <c r="AZ59" s="200" t="str" cm="1">
        <f t="array" aca="1" ref="AZ59" ca="1">INDEX(Helper!$E$13:$E$22, OFFSET(Helper!$J$13,$B59,AZ$2))</f>
        <v>90 CW</v>
      </c>
      <c r="BA59" s="200"/>
      <c r="BB59" s="200"/>
      <c r="BC59" s="200"/>
      <c r="BD59" s="200"/>
      <c r="BE59" s="3"/>
      <c r="BG59" s="200" t="str" cm="1">
        <f t="array" aca="1" ref="BG59" ca="1">INDEX(Helper!$E$13:$E$22, OFFSET(Helper!$J$13,$B59,BG$2))</f>
        <v>180 Rotation</v>
      </c>
      <c r="BH59" s="200"/>
      <c r="BI59" s="200"/>
      <c r="BJ59" s="200"/>
      <c r="BK59" s="200"/>
      <c r="BL59" s="3"/>
      <c r="BM59" s="3"/>
      <c r="BN59" s="200" t="str" cm="1">
        <f t="array" aca="1" ref="BN59" ca="1">INDEX(Helper!$E$13:$E$22, OFFSET(Helper!$J$13,$B59,BN$2))</f>
        <v>Noise</v>
      </c>
      <c r="BO59" s="200"/>
      <c r="BP59" s="200"/>
      <c r="BQ59" s="200"/>
      <c r="BR59" s="200"/>
      <c r="BS59" s="3"/>
      <c r="BU59" s="200" t="str" cm="1">
        <f t="array" aca="1" ref="BU59" ca="1">INDEX(Helper!$E$13:$E$22, OFFSET(Helper!$J$13,$B59,BU$2))</f>
        <v>Horizontal Flip</v>
      </c>
      <c r="BV59" s="200"/>
      <c r="BW59" s="200"/>
      <c r="BX59" s="200"/>
      <c r="BY59" s="200"/>
      <c r="CA59" s="29"/>
    </row>
    <row r="60" spans="1:79" s="1" customFormat="1" ht="18" customHeight="1" x14ac:dyDescent="0.2">
      <c r="A60" s="7"/>
      <c r="B60" s="202"/>
      <c r="C60" s="4">
        <v>0.5856674842483911</v>
      </c>
      <c r="D60" s="5">
        <v>1</v>
      </c>
      <c r="E60" s="5">
        <v>1</v>
      </c>
      <c r="F60" s="5">
        <v>1</v>
      </c>
      <c r="G60" s="6">
        <v>0.47057062491834412</v>
      </c>
      <c r="H60" s="3"/>
      <c r="I60" s="3"/>
      <c r="J60" s="4" cm="1">
        <f t="array" aca="1" ref="J60:N64" ca="1">_xlfn.IFS(J59="None",  $C60:$G64*0,           J59="Horizontal Flip", INDEX($C60:$G64, _xlfn.SEQUENCE(5), 6 - _xlfn.SEQUENCE(1,5)),        J59="Vertical Flip", INDEX($C60:$G64, 6 - _xlfn.SEQUENCE(5), _xlfn.SEQUENCE(1,5)),      J59="180 Rotation", INDEX($C60:$G64, 6 - _xlfn.SEQUENCE(5), 6 - _xlfn.SEQUENCE(1,5)),        J59="90 CW", INDEX($C60:$G64, 6 - _xlfn.SEQUENCE(1,5), _xlfn.SEQUENCE(5)),          J59="90 CCW", INDEX($C60:$G64, _xlfn.SEQUENCE(1,5), 6 - _xlfn.SEQUENCE(5)),         J59="Shift Up", IF(_xlfn.SEQUENCE(5)+1&lt;=5, INDEX($C60:$G64, _xlfn.SEQUENCE(5)+1, _xlfn.SEQUENCE(1,5)), 0),         J59="Shift Down", IF(_xlfn.SEQUENCE(5)-1&gt;=1, INDEX($C60:$G64, _xlfn.SEQUENCE(5)-1, _xlfn.SEQUENCE(1,5)), 0),         J59="Shift Left",   IF(_xlfn.SEQUENCE(1,5)+1&lt;=5, INDEX($C60:$G64, _xlfn.SEQUENCE(5), _xlfn.SEQUENCE(1,5)+1),0),         J59= "Shift Right",  IF(_xlfn.SEQUENCE(1,5)-1&gt;=1, INDEX($C60:$G64, _xlfn.SEQUENCE(5), _xlfn.SEQUENCE(1,5)-1), 0),        J59="Noise",  _xlfn.MAP($C60:$G64 + (_xlfn.RANDARRAY(ROWS($C60:$G64), COLUMNS($C60:$G64)) - 0.5) * 0.4, _xlfn.LAMBDA(_xlpm.x, MAX(0, MIN(1, _xlpm.x)))))</f>
        <v>1</v>
      </c>
      <c r="K60" s="5">
        <f ca="1"/>
        <v>1</v>
      </c>
      <c r="L60" s="5">
        <f ca="1"/>
        <v>1</v>
      </c>
      <c r="M60" s="5">
        <f ca="1"/>
        <v>0.47057062491834412</v>
      </c>
      <c r="N60" s="6">
        <f ca="1"/>
        <v>0</v>
      </c>
      <c r="O60" s="3"/>
      <c r="P60" s="3"/>
      <c r="Q60" s="4" cm="1">
        <f t="array" aca="1" ref="Q60:U64" ca="1">_xlfn.IFS(Q59="None",  $C60:$G64*0,           Q59="Horizontal Flip", INDEX($C60:$G64, _xlfn.SEQUENCE(5), 6 - _xlfn.SEQUENCE(1,5)),        Q59="Vertical Flip", INDEX($C60:$G64, 6 - _xlfn.SEQUENCE(5), _xlfn.SEQUENCE(1,5)),      Q59="180 Rotation", INDEX($C60:$G64, 6 - _xlfn.SEQUENCE(5), 6 - _xlfn.SEQUENCE(1,5)),        Q59="90 CW", INDEX($C60:$G64, 6 - _xlfn.SEQUENCE(1,5), _xlfn.SEQUENCE(5)),          Q59="90 CCW", INDEX($C60:$G64, _xlfn.SEQUENCE(1,5), 6 - _xlfn.SEQUENCE(5)),         Q59="Shift Up", IF(_xlfn.SEQUENCE(5)+1&lt;=5, INDEX($C60:$G64, _xlfn.SEQUENCE(5)+1, _xlfn.SEQUENCE(1,5)), 0),         Q59="Shift Down", IF(_xlfn.SEQUENCE(5)-1&gt;=1, INDEX($C60:$G64, _xlfn.SEQUENCE(5)-1, _xlfn.SEQUENCE(1,5)), 0),         Q59="Shift Left",   IF(_xlfn.SEQUENCE(1,5)+1&lt;=5, INDEX($C60:$G64, _xlfn.SEQUENCE(5), _xlfn.SEQUENCE(1,5)+1),0),         Q59= "Shift Right",  IF(_xlfn.SEQUENCE(1,5)-1&gt;=1, INDEX($C60:$G64, _xlfn.SEQUENCE(5), _xlfn.SEQUENCE(1,5)-1), 0),        Q59="Noise",  _xlfn.MAP($C60:$G64 + (_xlfn.RANDARRAY(ROWS($C60:$G64), COLUMNS($C60:$G64)) - 0.5) * 0.4, _xlfn.LAMBDA(_xlpm.x, MAX(0, MIN(1, _xlpm.x)))))</f>
        <v>0.39234062054446517</v>
      </c>
      <c r="R60" s="5">
        <f ca="1"/>
        <v>1</v>
      </c>
      <c r="S60" s="5">
        <f ca="1"/>
        <v>1</v>
      </c>
      <c r="T60" s="5">
        <f ca="1"/>
        <v>1</v>
      </c>
      <c r="U60" s="6">
        <f ca="1"/>
        <v>0.51859300964167188</v>
      </c>
      <c r="V60" s="3"/>
      <c r="W60" s="3"/>
      <c r="X60" s="4" cm="1">
        <f t="array" aca="1" ref="X60:AB64" ca="1">_xlfn.IFS(X59="None",  $C60:$G64*0,           X59="Horizontal Flip", INDEX($C60:$G64, _xlfn.SEQUENCE(5), 6 - _xlfn.SEQUENCE(1,5)),        X59="Vertical Flip", INDEX($C60:$G64, 6 - _xlfn.SEQUENCE(5), _xlfn.SEQUENCE(1,5)),      X59="180 Rotation", INDEX($C60:$G64, 6 - _xlfn.SEQUENCE(5), 6 - _xlfn.SEQUENCE(1,5)),        X59="90 CW", INDEX($C60:$G64, 6 - _xlfn.SEQUENCE(1,5), _xlfn.SEQUENCE(5)),          X59="90 CCW", INDEX($C60:$G64, _xlfn.SEQUENCE(1,5), 6 - _xlfn.SEQUENCE(5)),         X59="Shift Up", IF(_xlfn.SEQUENCE(5)+1&lt;=5, INDEX($C60:$G64, _xlfn.SEQUENCE(5)+1, _xlfn.SEQUENCE(1,5)), 0),         X59="Shift Down", IF(_xlfn.SEQUENCE(5)-1&gt;=1, INDEX($C60:$G64, _xlfn.SEQUENCE(5)-1, _xlfn.SEQUENCE(1,5)), 0),         X59="Shift Left",   IF(_xlfn.SEQUENCE(1,5)+1&lt;=5, INDEX($C60:$G64, _xlfn.SEQUENCE(5), _xlfn.SEQUENCE(1,5)+1),0),         X59= "Shift Right",  IF(_xlfn.SEQUENCE(1,5)-1&gt;=1, INDEX($C60:$G64, _xlfn.SEQUENCE(5), _xlfn.SEQUENCE(1,5)-1), 0),        X59="Noise",  _xlfn.MAP($C60:$G64 + (_xlfn.RANDARRAY(ROWS($C60:$G64), COLUMNS($C60:$G64)) - 0.5) * 0.4, _xlfn.LAMBDA(_xlpm.x, MAX(0, MIN(1, _xlpm.x)))))</f>
        <v>0</v>
      </c>
      <c r="Y60" s="5">
        <f ca="1"/>
        <v>0</v>
      </c>
      <c r="Z60" s="5">
        <f ca="1"/>
        <v>0</v>
      </c>
      <c r="AA60" s="5">
        <f ca="1"/>
        <v>0</v>
      </c>
      <c r="AB60" s="6">
        <f ca="1"/>
        <v>0</v>
      </c>
      <c r="AC60" s="3"/>
      <c r="AD60" s="3"/>
      <c r="AE60" s="4" cm="1">
        <f t="array" aca="1" ref="AE60:AI64" ca="1">_xlfn.IFS(AE59="None",  $C60:$G64*0,           AE59="Horizontal Flip", INDEX($C60:$G64, _xlfn.SEQUENCE(5), 6 - _xlfn.SEQUENCE(1,5)),        AE59="Vertical Flip", INDEX($C60:$G64, 6 - _xlfn.SEQUENCE(5), _xlfn.SEQUENCE(1,5)),      AE59="180 Rotation", INDEX($C60:$G64, 6 - _xlfn.SEQUENCE(5), 6 - _xlfn.SEQUENCE(1,5)),        AE59="90 CW", INDEX($C60:$G64, 6 - _xlfn.SEQUENCE(1,5), _xlfn.SEQUENCE(5)),          AE59="90 CCW", INDEX($C60:$G64, _xlfn.SEQUENCE(1,5), 6 - _xlfn.SEQUENCE(5)),         AE59="Shift Up", IF(_xlfn.SEQUENCE(5)+1&lt;=5, INDEX($C60:$G64, _xlfn.SEQUENCE(5)+1, _xlfn.SEQUENCE(1,5)), 0),         AE59="Shift Down", IF(_xlfn.SEQUENCE(5)-1&gt;=1, INDEX($C60:$G64, _xlfn.SEQUENCE(5)-1, _xlfn.SEQUENCE(1,5)), 0),         AE59="Shift Left",   IF(_xlfn.SEQUENCE(1,5)+1&lt;=5, INDEX($C60:$G64, _xlfn.SEQUENCE(5), _xlfn.SEQUENCE(1,5)+1),0),         AE59= "Shift Right",  IF(_xlfn.SEQUENCE(1,5)-1&gt;=1, INDEX($C60:$G64, _xlfn.SEQUENCE(5), _xlfn.SEQUENCE(1,5)-1), 0),        AE59="Noise",  _xlfn.MAP($C60:$G64 + (_xlfn.RANDARRAY(ROWS($C60:$G64), COLUMNS($C60:$G64)) - 0.5) * 0.4, _xlfn.LAMBDA(_xlpm.x, MAX(0, MIN(1, _xlpm.x)))))</f>
        <v>0.35891603721293253</v>
      </c>
      <c r="AF60" s="5">
        <f ca="1"/>
        <v>1</v>
      </c>
      <c r="AG60" s="5">
        <f ca="1"/>
        <v>0.64616898336424389</v>
      </c>
      <c r="AH60" s="5">
        <f ca="1"/>
        <v>1</v>
      </c>
      <c r="AI60" s="6">
        <f ca="1"/>
        <v>0.48459652030447498</v>
      </c>
      <c r="AJ60" s="3"/>
      <c r="AK60" s="3"/>
      <c r="AL60" s="4" cm="1">
        <f t="array" aca="1" ref="AL60:AP64" ca="1">_xlfn.IFS(AL59="None",  $C60:$G64*0,           AL59="Horizontal Flip", INDEX($C60:$G64, _xlfn.SEQUENCE(5), 6 - _xlfn.SEQUENCE(1,5)),        AL59="Vertical Flip", INDEX($C60:$G64, 6 - _xlfn.SEQUENCE(5), _xlfn.SEQUENCE(1,5)),      AL59="180 Rotation", INDEX($C60:$G64, 6 - _xlfn.SEQUENCE(5), 6 - _xlfn.SEQUENCE(1,5)),        AL59="90 CW", INDEX($C60:$G64, 6 - _xlfn.SEQUENCE(1,5), _xlfn.SEQUENCE(5)),          AL59="90 CCW", INDEX($C60:$G64, _xlfn.SEQUENCE(1,5), 6 - _xlfn.SEQUENCE(5)),         AL59="Shift Up", IF(_xlfn.SEQUENCE(5)+1&lt;=5, INDEX($C60:$G64, _xlfn.SEQUENCE(5)+1, _xlfn.SEQUENCE(1,5)), 0),         AL59="Shift Down", IF(_xlfn.SEQUENCE(5)-1&gt;=1, INDEX($C60:$G64, _xlfn.SEQUENCE(5)-1, _xlfn.SEQUENCE(1,5)), 0),         AL59="Shift Left",   IF(_xlfn.SEQUENCE(1,5)+1&lt;=5, INDEX($C60:$G64, _xlfn.SEQUENCE(5), _xlfn.SEQUENCE(1,5)+1),0),         AL59= "Shift Right",  IF(_xlfn.SEQUENCE(1,5)-1&gt;=1, INDEX($C60:$G64, _xlfn.SEQUENCE(5), _xlfn.SEQUENCE(1,5)-1), 0),        AL59="Noise",  _xlfn.MAP($C60:$G64 + (_xlfn.RANDARRAY(ROWS($C60:$G64), COLUMNS($C60:$G64)) - 0.5) * 0.4, _xlfn.LAMBDA(_xlpm.x, MAX(0, MIN(1, _xlpm.x)))))</f>
        <v>0.47057062491834412</v>
      </c>
      <c r="AM60" s="5">
        <f ca="1"/>
        <v>0.48459652030447498</v>
      </c>
      <c r="AN60" s="5">
        <f ca="1"/>
        <v>0.15381588292190895</v>
      </c>
      <c r="AO60" s="5">
        <f ca="1"/>
        <v>0.62948157681499672</v>
      </c>
      <c r="AP60" s="6">
        <f ca="1"/>
        <v>0.51859300964167188</v>
      </c>
      <c r="AQ60" s="3"/>
      <c r="AR60" s="3"/>
      <c r="AS60" s="4" cm="1">
        <f t="array" aca="1" ref="AS60:AW64" ca="1">_xlfn.IFS(AS59="None",  $C60:$G64*0,           AS59="Horizontal Flip", INDEX($C60:$G64, _xlfn.SEQUENCE(5), 6 - _xlfn.SEQUENCE(1,5)),        AS59="Vertical Flip", INDEX($C60:$G64, 6 - _xlfn.SEQUENCE(5), _xlfn.SEQUENCE(1,5)),      AS59="180 Rotation", INDEX($C60:$G64, 6 - _xlfn.SEQUENCE(5), 6 - _xlfn.SEQUENCE(1,5)),        AS59="90 CW", INDEX($C60:$G64, 6 - _xlfn.SEQUENCE(1,5), _xlfn.SEQUENCE(5)),          AS59="90 CCW", INDEX($C60:$G64, _xlfn.SEQUENCE(1,5), 6 - _xlfn.SEQUENCE(5)),         AS59="Shift Up", IF(_xlfn.SEQUENCE(5)+1&lt;=5, INDEX($C60:$G64, _xlfn.SEQUENCE(5)+1, _xlfn.SEQUENCE(1,5)), 0),         AS59="Shift Down", IF(_xlfn.SEQUENCE(5)-1&gt;=1, INDEX($C60:$G64, _xlfn.SEQUENCE(5)-1, _xlfn.SEQUENCE(1,5)), 0),         AS59="Shift Left",   IF(_xlfn.SEQUENCE(1,5)+1&lt;=5, INDEX($C60:$G64, _xlfn.SEQUENCE(5), _xlfn.SEQUENCE(1,5)+1),0),         AS59= "Shift Right",  IF(_xlfn.SEQUENCE(1,5)-1&gt;=1, INDEX($C60:$G64, _xlfn.SEQUENCE(5), _xlfn.SEQUENCE(1,5)-1), 0),        AS59="Noise",  _xlfn.MAP($C60:$G64 + (_xlfn.RANDARRAY(ROWS($C60:$G64), COLUMNS($C60:$G64)) - 0.5) * 0.4, _xlfn.LAMBDA(_xlpm.x, MAX(0, MIN(1, _xlpm.x)))))</f>
        <v>0</v>
      </c>
      <c r="AT60" s="5">
        <f ca="1"/>
        <v>0.5856674842483911</v>
      </c>
      <c r="AU60" s="5">
        <f ca="1"/>
        <v>1</v>
      </c>
      <c r="AV60" s="5">
        <f ca="1"/>
        <v>1</v>
      </c>
      <c r="AW60" s="6">
        <f ca="1"/>
        <v>1</v>
      </c>
      <c r="AX60" s="3"/>
      <c r="AY60" s="3"/>
      <c r="AZ60" s="4" cm="1">
        <f t="array" aca="1" ref="AZ60:BD64" ca="1">_xlfn.IFS(AZ59="None",  $C60:$G64*0,           AZ59="Horizontal Flip", INDEX($C60:$G64, _xlfn.SEQUENCE(5), 6 - _xlfn.SEQUENCE(1,5)),        AZ59="Vertical Flip", INDEX($C60:$G64, 6 - _xlfn.SEQUENCE(5), _xlfn.SEQUENCE(1,5)),      AZ59="180 Rotation", INDEX($C60:$G64, 6 - _xlfn.SEQUENCE(5), 6 - _xlfn.SEQUENCE(1,5)),        AZ59="90 CW", INDEX($C60:$G64, 6 - _xlfn.SEQUENCE(1,5), _xlfn.SEQUENCE(5)),          AZ59="90 CCW", INDEX($C60:$G64, _xlfn.SEQUENCE(1,5), 6 - _xlfn.SEQUENCE(5)),         AZ59="Shift Up", IF(_xlfn.SEQUENCE(5)+1&lt;=5, INDEX($C60:$G64, _xlfn.SEQUENCE(5)+1, _xlfn.SEQUENCE(1,5)), 0),         AZ59="Shift Down", IF(_xlfn.SEQUENCE(5)-1&gt;=1, INDEX($C60:$G64, _xlfn.SEQUENCE(5)-1, _xlfn.SEQUENCE(1,5)), 0),         AZ59="Shift Left",   IF(_xlfn.SEQUENCE(1,5)+1&lt;=5, INDEX($C60:$G64, _xlfn.SEQUENCE(5), _xlfn.SEQUENCE(1,5)+1),0),         AZ59= "Shift Right",  IF(_xlfn.SEQUENCE(1,5)-1&gt;=1, INDEX($C60:$G64, _xlfn.SEQUENCE(5), _xlfn.SEQUENCE(1,5)-1), 0),        AZ59="Noise",  _xlfn.MAP($C60:$G64 + (_xlfn.RANDARRAY(ROWS($C60:$G64), COLUMNS($C60:$G64)) - 0.5) * 0.4, _xlfn.LAMBDA(_xlpm.x, MAX(0, MIN(1, _xlpm.x)))))</f>
        <v>0.39234062054446517</v>
      </c>
      <c r="BA60" s="5">
        <f ca="1"/>
        <v>0.37057343048749869</v>
      </c>
      <c r="BB60" s="5">
        <f ca="1"/>
        <v>0.16479800860068505</v>
      </c>
      <c r="BC60" s="5">
        <f ca="1"/>
        <v>0.35891603721293253</v>
      </c>
      <c r="BD60" s="6">
        <f ca="1"/>
        <v>0.5856674842483911</v>
      </c>
      <c r="BE60" s="3"/>
      <c r="BG60" s="4" cm="1">
        <f t="array" aca="1" ref="BG60:BK64" ca="1">_xlfn.IFS(BG59="None",  $C60:$G64*0,           BG59="Horizontal Flip", INDEX($C60:$G64, _xlfn.SEQUENCE(5), 6 - _xlfn.SEQUENCE(1,5)),        BG59="Vertical Flip", INDEX($C60:$G64, 6 - _xlfn.SEQUENCE(5), _xlfn.SEQUENCE(1,5)),      BG59="180 Rotation", INDEX($C60:$G64, 6 - _xlfn.SEQUENCE(5), 6 - _xlfn.SEQUENCE(1,5)),        BG59="90 CW", INDEX($C60:$G64, 6 - _xlfn.SEQUENCE(1,5), _xlfn.SEQUENCE(5)),          BG59="90 CCW", INDEX($C60:$G64, _xlfn.SEQUENCE(1,5), 6 - _xlfn.SEQUENCE(5)),         BG59="Shift Up", IF(_xlfn.SEQUENCE(5)+1&lt;=5, INDEX($C60:$G64, _xlfn.SEQUENCE(5)+1, _xlfn.SEQUENCE(1,5)), 0),         BG59="Shift Down", IF(_xlfn.SEQUENCE(5)-1&gt;=1, INDEX($C60:$G64, _xlfn.SEQUENCE(5)-1, _xlfn.SEQUENCE(1,5)), 0),         BG59="Shift Left",   IF(_xlfn.SEQUENCE(1,5)+1&lt;=5, INDEX($C60:$G64, _xlfn.SEQUENCE(5), _xlfn.SEQUENCE(1,5)+1),0),         BG59= "Shift Right",  IF(_xlfn.SEQUENCE(1,5)-1&gt;=1, INDEX($C60:$G64, _xlfn.SEQUENCE(5), _xlfn.SEQUENCE(1,5)-1), 0),        BG59="Noise",  _xlfn.MAP($C60:$G64 + (_xlfn.RANDARRAY(ROWS($C60:$G64), COLUMNS($C60:$G64)) - 0.5) * 0.4, _xlfn.LAMBDA(_xlpm.x, MAX(0, MIN(1, _xlpm.x)))))</f>
        <v>0.51859300964167188</v>
      </c>
      <c r="BH60" s="5">
        <f ca="1"/>
        <v>1</v>
      </c>
      <c r="BI60" s="5">
        <f ca="1"/>
        <v>1</v>
      </c>
      <c r="BJ60" s="5">
        <f ca="1"/>
        <v>1</v>
      </c>
      <c r="BK60" s="6">
        <f ca="1"/>
        <v>0.39234062054446517</v>
      </c>
      <c r="BL60" s="3"/>
      <c r="BM60" s="3"/>
      <c r="BN60" s="4" cm="1">
        <f t="array" aca="1" ref="BN60:BR64" ca="1">_xlfn.IFS(BN59="None",  $C60:$G64*0,           BN59="Horizontal Flip", INDEX($C60:$G64, _xlfn.SEQUENCE(5), 6 - _xlfn.SEQUENCE(1,5)),        BN59="Vertical Flip", INDEX($C60:$G64, 6 - _xlfn.SEQUENCE(5), _xlfn.SEQUENCE(1,5)),      BN59="180 Rotation", INDEX($C60:$G64, 6 - _xlfn.SEQUENCE(5), 6 - _xlfn.SEQUENCE(1,5)),        BN59="90 CW", INDEX($C60:$G64, 6 - _xlfn.SEQUENCE(1,5), _xlfn.SEQUENCE(5)),          BN59="90 CCW", INDEX($C60:$G64, _xlfn.SEQUENCE(1,5), 6 - _xlfn.SEQUENCE(5)),         BN59="Shift Up", IF(_xlfn.SEQUENCE(5)+1&lt;=5, INDEX($C60:$G64, _xlfn.SEQUENCE(5)+1, _xlfn.SEQUENCE(1,5)), 0),         BN59="Shift Down", IF(_xlfn.SEQUENCE(5)-1&gt;=1, INDEX($C60:$G64, _xlfn.SEQUENCE(5)-1, _xlfn.SEQUENCE(1,5)), 0),         BN59="Shift Left",   IF(_xlfn.SEQUENCE(1,5)+1&lt;=5, INDEX($C60:$G64, _xlfn.SEQUENCE(5), _xlfn.SEQUENCE(1,5)+1),0),         BN59= "Shift Right",  IF(_xlfn.SEQUENCE(1,5)-1&gt;=1, INDEX($C60:$G64, _xlfn.SEQUENCE(5), _xlfn.SEQUENCE(1,5)-1), 0),        BN59="Noise",  _xlfn.MAP($C60:$G64 + (_xlfn.RANDARRAY(ROWS($C60:$G64), COLUMNS($C60:$G64)) - 0.5) * 0.4, _xlfn.LAMBDA(_xlpm.x, MAX(0, MIN(1, _xlpm.x)))))</f>
        <v>0.73868254108355447</v>
      </c>
      <c r="BO60" s="5">
        <f ca="1"/>
        <v>0.8497917859284263</v>
      </c>
      <c r="BP60" s="5">
        <f ca="1"/>
        <v>1</v>
      </c>
      <c r="BQ60" s="5">
        <f ca="1"/>
        <v>0.87272015720737195</v>
      </c>
      <c r="BR60" s="6">
        <f ca="1"/>
        <v>0.31307108963108399</v>
      </c>
      <c r="BS60" s="3"/>
      <c r="BU60" s="4" cm="1">
        <f t="array" aca="1" ref="BU60:BY64" ca="1">_xlfn.IFS(BU59="None",  $C60:$G64*0,           BU59="Horizontal Flip", INDEX($C60:$G64, _xlfn.SEQUENCE(5), 6 - _xlfn.SEQUENCE(1,5)),        BU59="Vertical Flip", INDEX($C60:$G64, 6 - _xlfn.SEQUENCE(5), _xlfn.SEQUENCE(1,5)),      BU59="180 Rotation", INDEX($C60:$G64, 6 - _xlfn.SEQUENCE(5), 6 - _xlfn.SEQUENCE(1,5)),        BU59="90 CW", INDEX($C60:$G64, 6 - _xlfn.SEQUENCE(1,5), _xlfn.SEQUENCE(5)),          BU59="90 CCW", INDEX($C60:$G64, _xlfn.SEQUENCE(1,5), 6 - _xlfn.SEQUENCE(5)),         BU59="Shift Up", IF(_xlfn.SEQUENCE(5)+1&lt;=5, INDEX($C60:$G64, _xlfn.SEQUENCE(5)+1, _xlfn.SEQUENCE(1,5)), 0),         BU59="Shift Down", IF(_xlfn.SEQUENCE(5)-1&gt;=1, INDEX($C60:$G64, _xlfn.SEQUENCE(5)-1, _xlfn.SEQUENCE(1,5)), 0),         BU59="Shift Left",   IF(_xlfn.SEQUENCE(1,5)+1&lt;=5, INDEX($C60:$G64, _xlfn.SEQUENCE(5), _xlfn.SEQUENCE(1,5)+1),0),         BU59= "Shift Right",  IF(_xlfn.SEQUENCE(1,5)-1&gt;=1, INDEX($C60:$G64, _xlfn.SEQUENCE(5), _xlfn.SEQUENCE(1,5)-1), 0),        BU59="Noise",  _xlfn.MAP($C60:$G64 + (_xlfn.RANDARRAY(ROWS($C60:$G64), COLUMNS($C60:$G64)) - 0.5) * 0.4, _xlfn.LAMBDA(_xlpm.x, MAX(0, MIN(1, _xlpm.x)))))</f>
        <v>0.47057062491834412</v>
      </c>
      <c r="BV60" s="5">
        <f ca="1"/>
        <v>1</v>
      </c>
      <c r="BW60" s="5">
        <f ca="1"/>
        <v>1</v>
      </c>
      <c r="BX60" s="5">
        <f ca="1"/>
        <v>1</v>
      </c>
      <c r="BY60" s="6">
        <f ca="1"/>
        <v>0.5856674842483911</v>
      </c>
      <c r="CA60" s="29"/>
    </row>
    <row r="61" spans="1:79" s="1" customFormat="1" ht="18" customHeight="1" x14ac:dyDescent="0.2">
      <c r="A61" s="7"/>
      <c r="B61" s="202"/>
      <c r="C61" s="7">
        <v>0.35891603721293253</v>
      </c>
      <c r="D61" s="3">
        <v>1</v>
      </c>
      <c r="E61" s="3">
        <v>0.64616898336424389</v>
      </c>
      <c r="F61" s="3">
        <v>1</v>
      </c>
      <c r="G61" s="8">
        <v>0.48459652030447498</v>
      </c>
      <c r="H61" s="3"/>
      <c r="I61" s="3"/>
      <c r="J61" s="7">
        <f ca="1"/>
        <v>1</v>
      </c>
      <c r="K61" s="3">
        <f ca="1"/>
        <v>0.64616898336424389</v>
      </c>
      <c r="L61" s="3">
        <f ca="1"/>
        <v>1</v>
      </c>
      <c r="M61" s="3">
        <f ca="1"/>
        <v>0.48459652030447498</v>
      </c>
      <c r="N61" s="8">
        <f ca="1"/>
        <v>0</v>
      </c>
      <c r="O61" s="3"/>
      <c r="P61" s="3"/>
      <c r="Q61" s="7">
        <f ca="1"/>
        <v>0.37057343048749869</v>
      </c>
      <c r="R61" s="3">
        <f ca="1"/>
        <v>1</v>
      </c>
      <c r="S61" s="3">
        <f ca="1"/>
        <v>0.34139235886810937</v>
      </c>
      <c r="T61" s="3">
        <f ca="1"/>
        <v>1</v>
      </c>
      <c r="U61" s="8">
        <f ca="1"/>
        <v>0.62948157681499672</v>
      </c>
      <c r="V61" s="3"/>
      <c r="W61" s="3"/>
      <c r="X61" s="7">
        <f ca="1"/>
        <v>0.5856674842483911</v>
      </c>
      <c r="Y61" s="3">
        <f ca="1"/>
        <v>1</v>
      </c>
      <c r="Z61" s="3">
        <f ca="1"/>
        <v>1</v>
      </c>
      <c r="AA61" s="3">
        <f ca="1"/>
        <v>1</v>
      </c>
      <c r="AB61" s="8">
        <f ca="1"/>
        <v>0.47057062491834412</v>
      </c>
      <c r="AC61" s="3"/>
      <c r="AD61" s="3"/>
      <c r="AE61" s="7">
        <f ca="1"/>
        <v>0.16479800860068505</v>
      </c>
      <c r="AF61" s="3">
        <f ca="1"/>
        <v>1</v>
      </c>
      <c r="AG61" s="3">
        <f ca="1"/>
        <v>1</v>
      </c>
      <c r="AH61" s="3">
        <f ca="1"/>
        <v>1</v>
      </c>
      <c r="AI61" s="8">
        <f ca="1"/>
        <v>0.15381588292190895</v>
      </c>
      <c r="AJ61" s="3"/>
      <c r="AK61" s="3"/>
      <c r="AL61" s="7">
        <f ca="1"/>
        <v>1</v>
      </c>
      <c r="AM61" s="3">
        <f ca="1"/>
        <v>1</v>
      </c>
      <c r="AN61" s="3">
        <f ca="1"/>
        <v>1</v>
      </c>
      <c r="AO61" s="3">
        <f ca="1"/>
        <v>1</v>
      </c>
      <c r="AP61" s="8">
        <f ca="1"/>
        <v>1</v>
      </c>
      <c r="AQ61" s="3"/>
      <c r="AR61" s="3"/>
      <c r="AS61" s="7">
        <f ca="1"/>
        <v>0</v>
      </c>
      <c r="AT61" s="3">
        <f ca="1"/>
        <v>0.35891603721293253</v>
      </c>
      <c r="AU61" s="3">
        <f ca="1"/>
        <v>1</v>
      </c>
      <c r="AV61" s="3">
        <f ca="1"/>
        <v>0.64616898336424389</v>
      </c>
      <c r="AW61" s="8">
        <f ca="1"/>
        <v>1</v>
      </c>
      <c r="AX61" s="3"/>
      <c r="AY61" s="3"/>
      <c r="AZ61" s="7">
        <f ca="1"/>
        <v>1</v>
      </c>
      <c r="BA61" s="3">
        <f ca="1"/>
        <v>1</v>
      </c>
      <c r="BB61" s="3">
        <f ca="1"/>
        <v>1</v>
      </c>
      <c r="BC61" s="3">
        <f ca="1"/>
        <v>1</v>
      </c>
      <c r="BD61" s="8">
        <f ca="1"/>
        <v>1</v>
      </c>
      <c r="BE61" s="3"/>
      <c r="BG61" s="7">
        <f ca="1"/>
        <v>0.62948157681499672</v>
      </c>
      <c r="BH61" s="3">
        <f ca="1"/>
        <v>1</v>
      </c>
      <c r="BI61" s="3">
        <f ca="1"/>
        <v>0.34139235886810937</v>
      </c>
      <c r="BJ61" s="3">
        <f ca="1"/>
        <v>1</v>
      </c>
      <c r="BK61" s="8">
        <f ca="1"/>
        <v>0.37057343048749869</v>
      </c>
      <c r="BL61" s="3"/>
      <c r="BM61" s="3"/>
      <c r="BN61" s="7">
        <f ca="1"/>
        <v>0.40396889850697482</v>
      </c>
      <c r="BO61" s="3">
        <f ca="1"/>
        <v>0.83683102047714331</v>
      </c>
      <c r="BP61" s="3">
        <f ca="1"/>
        <v>0.49307250233276578</v>
      </c>
      <c r="BQ61" s="3">
        <f ca="1"/>
        <v>0.85079415700717076</v>
      </c>
      <c r="BR61" s="8">
        <f ca="1"/>
        <v>0.48799382650692635</v>
      </c>
      <c r="BS61" s="3"/>
      <c r="BU61" s="7">
        <f ca="1"/>
        <v>0.48459652030447498</v>
      </c>
      <c r="BV61" s="3">
        <f ca="1"/>
        <v>1</v>
      </c>
      <c r="BW61" s="3">
        <f ca="1"/>
        <v>0.64616898336424389</v>
      </c>
      <c r="BX61" s="3">
        <f ca="1"/>
        <v>1</v>
      </c>
      <c r="BY61" s="8">
        <f ca="1"/>
        <v>0.35891603721293253</v>
      </c>
      <c r="CA61" s="29"/>
    </row>
    <row r="62" spans="1:79" s="1" customFormat="1" ht="18" customHeight="1" x14ac:dyDescent="0.2">
      <c r="A62" s="7"/>
      <c r="B62" s="202"/>
      <c r="C62" s="7">
        <v>0.16479800860068505</v>
      </c>
      <c r="D62" s="3">
        <v>1</v>
      </c>
      <c r="E62" s="3">
        <v>1</v>
      </c>
      <c r="F62" s="3">
        <v>1</v>
      </c>
      <c r="G62" s="8">
        <v>0.15381588292190895</v>
      </c>
      <c r="H62" s="3"/>
      <c r="I62" s="3"/>
      <c r="J62" s="7">
        <f ca="1"/>
        <v>1</v>
      </c>
      <c r="K62" s="3">
        <f ca="1"/>
        <v>1</v>
      </c>
      <c r="L62" s="3">
        <f ca="1"/>
        <v>1</v>
      </c>
      <c r="M62" s="3">
        <f ca="1"/>
        <v>0.15381588292190895</v>
      </c>
      <c r="N62" s="8">
        <f ca="1"/>
        <v>0</v>
      </c>
      <c r="O62" s="3"/>
      <c r="P62" s="3"/>
      <c r="Q62" s="7">
        <f ca="1"/>
        <v>0.16479800860068505</v>
      </c>
      <c r="R62" s="3">
        <f ca="1"/>
        <v>1</v>
      </c>
      <c r="S62" s="3">
        <f ca="1"/>
        <v>1</v>
      </c>
      <c r="T62" s="3">
        <f ca="1"/>
        <v>1</v>
      </c>
      <c r="U62" s="8">
        <f ca="1"/>
        <v>0.15381588292190895</v>
      </c>
      <c r="V62" s="3"/>
      <c r="W62" s="3"/>
      <c r="X62" s="7">
        <f ca="1"/>
        <v>0.35891603721293253</v>
      </c>
      <c r="Y62" s="3">
        <f ca="1"/>
        <v>1</v>
      </c>
      <c r="Z62" s="3">
        <f ca="1"/>
        <v>0.64616898336424389</v>
      </c>
      <c r="AA62" s="3">
        <f ca="1"/>
        <v>1</v>
      </c>
      <c r="AB62" s="8">
        <f ca="1"/>
        <v>0.48459652030447498</v>
      </c>
      <c r="AC62" s="3"/>
      <c r="AD62" s="3"/>
      <c r="AE62" s="7">
        <f ca="1"/>
        <v>0.37057343048749869</v>
      </c>
      <c r="AF62" s="3">
        <f ca="1"/>
        <v>1</v>
      </c>
      <c r="AG62" s="3">
        <f ca="1"/>
        <v>0.34139235886810937</v>
      </c>
      <c r="AH62" s="3">
        <f ca="1"/>
        <v>1</v>
      </c>
      <c r="AI62" s="8">
        <f ca="1"/>
        <v>0.62948157681499672</v>
      </c>
      <c r="AJ62" s="3"/>
      <c r="AK62" s="3"/>
      <c r="AL62" s="7">
        <f ca="1"/>
        <v>1</v>
      </c>
      <c r="AM62" s="3">
        <f ca="1"/>
        <v>0.64616898336424389</v>
      </c>
      <c r="AN62" s="3">
        <f ca="1"/>
        <v>1</v>
      </c>
      <c r="AO62" s="3">
        <f ca="1"/>
        <v>0.34139235886810937</v>
      </c>
      <c r="AP62" s="8">
        <f ca="1"/>
        <v>1</v>
      </c>
      <c r="AQ62" s="3"/>
      <c r="AR62" s="3"/>
      <c r="AS62" s="7">
        <f ca="1"/>
        <v>0</v>
      </c>
      <c r="AT62" s="3">
        <f ca="1"/>
        <v>0.16479800860068505</v>
      </c>
      <c r="AU62" s="3">
        <f ca="1"/>
        <v>1</v>
      </c>
      <c r="AV62" s="3">
        <f ca="1"/>
        <v>1</v>
      </c>
      <c r="AW62" s="8">
        <f ca="1"/>
        <v>1</v>
      </c>
      <c r="AX62" s="3"/>
      <c r="AY62" s="3"/>
      <c r="AZ62" s="7">
        <f ca="1"/>
        <v>1</v>
      </c>
      <c r="BA62" s="3">
        <f ca="1"/>
        <v>0.34139235886810937</v>
      </c>
      <c r="BB62" s="3">
        <f ca="1"/>
        <v>1</v>
      </c>
      <c r="BC62" s="3">
        <f ca="1"/>
        <v>0.64616898336424389</v>
      </c>
      <c r="BD62" s="8">
        <f ca="1"/>
        <v>1</v>
      </c>
      <c r="BE62" s="3"/>
      <c r="BG62" s="7">
        <f ca="1"/>
        <v>0.15381588292190895</v>
      </c>
      <c r="BH62" s="3">
        <f ca="1"/>
        <v>1</v>
      </c>
      <c r="BI62" s="3">
        <f ca="1"/>
        <v>1</v>
      </c>
      <c r="BJ62" s="3">
        <f ca="1"/>
        <v>1</v>
      </c>
      <c r="BK62" s="8">
        <f ca="1"/>
        <v>0.16479800860068505</v>
      </c>
      <c r="BL62" s="3"/>
      <c r="BM62" s="3"/>
      <c r="BN62" s="7">
        <f ca="1"/>
        <v>0.29615104260587066</v>
      </c>
      <c r="BO62" s="3">
        <f ca="1"/>
        <v>1</v>
      </c>
      <c r="BP62" s="3">
        <f ca="1"/>
        <v>0.85491125962653836</v>
      </c>
      <c r="BQ62" s="3">
        <f ca="1"/>
        <v>1</v>
      </c>
      <c r="BR62" s="8">
        <f ca="1"/>
        <v>8.5817790186699702E-2</v>
      </c>
      <c r="BS62" s="3"/>
      <c r="BU62" s="7">
        <f ca="1"/>
        <v>0.15381588292190895</v>
      </c>
      <c r="BV62" s="3">
        <f ca="1"/>
        <v>1</v>
      </c>
      <c r="BW62" s="3">
        <f ca="1"/>
        <v>1</v>
      </c>
      <c r="BX62" s="3">
        <f ca="1"/>
        <v>1</v>
      </c>
      <c r="BY62" s="8">
        <f ca="1"/>
        <v>0.16479800860068505</v>
      </c>
      <c r="CA62" s="29"/>
    </row>
    <row r="63" spans="1:79" s="1" customFormat="1" ht="18" customHeight="1" x14ac:dyDescent="0.2">
      <c r="A63" s="7"/>
      <c r="B63" s="202"/>
      <c r="C63" s="7">
        <v>0.37057343048749869</v>
      </c>
      <c r="D63" s="3">
        <v>1</v>
      </c>
      <c r="E63" s="3">
        <v>0.34139235886810937</v>
      </c>
      <c r="F63" s="3">
        <v>1</v>
      </c>
      <c r="G63" s="8">
        <v>0.62948157681499672</v>
      </c>
      <c r="H63" s="3"/>
      <c r="I63" s="3"/>
      <c r="J63" s="7">
        <f ca="1"/>
        <v>1</v>
      </c>
      <c r="K63" s="3">
        <f ca="1"/>
        <v>0.34139235886810937</v>
      </c>
      <c r="L63" s="3">
        <f ca="1"/>
        <v>1</v>
      </c>
      <c r="M63" s="3">
        <f ca="1"/>
        <v>0.62948157681499672</v>
      </c>
      <c r="N63" s="8">
        <f ca="1"/>
        <v>0</v>
      </c>
      <c r="O63" s="3"/>
      <c r="P63" s="3"/>
      <c r="Q63" s="7">
        <f ca="1"/>
        <v>0.35891603721293253</v>
      </c>
      <c r="R63" s="3">
        <f ca="1"/>
        <v>1</v>
      </c>
      <c r="S63" s="3">
        <f ca="1"/>
        <v>0.64616898336424389</v>
      </c>
      <c r="T63" s="3">
        <f ca="1"/>
        <v>1</v>
      </c>
      <c r="U63" s="8">
        <f ca="1"/>
        <v>0.48459652030447498</v>
      </c>
      <c r="V63" s="3"/>
      <c r="W63" s="3"/>
      <c r="X63" s="7">
        <f ca="1"/>
        <v>0.16479800860068505</v>
      </c>
      <c r="Y63" s="3">
        <f ca="1"/>
        <v>1</v>
      </c>
      <c r="Z63" s="3">
        <f ca="1"/>
        <v>1</v>
      </c>
      <c r="AA63" s="3">
        <f ca="1"/>
        <v>1</v>
      </c>
      <c r="AB63" s="8">
        <f ca="1"/>
        <v>0.15381588292190895</v>
      </c>
      <c r="AC63" s="3"/>
      <c r="AD63" s="3"/>
      <c r="AE63" s="7">
        <f ca="1"/>
        <v>0.39234062054446517</v>
      </c>
      <c r="AF63" s="3">
        <f ca="1"/>
        <v>1</v>
      </c>
      <c r="AG63" s="3">
        <f ca="1"/>
        <v>1</v>
      </c>
      <c r="AH63" s="3">
        <f ca="1"/>
        <v>1</v>
      </c>
      <c r="AI63" s="8">
        <f ca="1"/>
        <v>0.51859300964167188</v>
      </c>
      <c r="AJ63" s="3"/>
      <c r="AK63" s="3"/>
      <c r="AL63" s="7">
        <f ca="1"/>
        <v>1</v>
      </c>
      <c r="AM63" s="3">
        <f ca="1"/>
        <v>1</v>
      </c>
      <c r="AN63" s="3">
        <f ca="1"/>
        <v>1</v>
      </c>
      <c r="AO63" s="3">
        <f ca="1"/>
        <v>1</v>
      </c>
      <c r="AP63" s="8">
        <f ca="1"/>
        <v>1</v>
      </c>
      <c r="AQ63" s="3"/>
      <c r="AR63" s="3"/>
      <c r="AS63" s="7">
        <f ca="1"/>
        <v>0</v>
      </c>
      <c r="AT63" s="3">
        <f ca="1"/>
        <v>0.37057343048749869</v>
      </c>
      <c r="AU63" s="3">
        <f ca="1"/>
        <v>1</v>
      </c>
      <c r="AV63" s="3">
        <f ca="1"/>
        <v>0.34139235886810937</v>
      </c>
      <c r="AW63" s="8">
        <f ca="1"/>
        <v>1</v>
      </c>
      <c r="AX63" s="3"/>
      <c r="AY63" s="3"/>
      <c r="AZ63" s="7">
        <f ca="1"/>
        <v>1</v>
      </c>
      <c r="BA63" s="3">
        <f ca="1"/>
        <v>1</v>
      </c>
      <c r="BB63" s="3">
        <f ca="1"/>
        <v>1</v>
      </c>
      <c r="BC63" s="3">
        <f ca="1"/>
        <v>1</v>
      </c>
      <c r="BD63" s="8">
        <f ca="1"/>
        <v>1</v>
      </c>
      <c r="BE63" s="3"/>
      <c r="BG63" s="7">
        <f ca="1"/>
        <v>0.48459652030447498</v>
      </c>
      <c r="BH63" s="3">
        <f ca="1"/>
        <v>1</v>
      </c>
      <c r="BI63" s="3">
        <f ca="1"/>
        <v>0.64616898336424389</v>
      </c>
      <c r="BJ63" s="3">
        <f ca="1"/>
        <v>1</v>
      </c>
      <c r="BK63" s="8">
        <f ca="1"/>
        <v>0.35891603721293253</v>
      </c>
      <c r="BL63" s="3"/>
      <c r="BM63" s="3"/>
      <c r="BN63" s="7">
        <f ca="1"/>
        <v>0.54383414045512612</v>
      </c>
      <c r="BO63" s="3">
        <f ca="1"/>
        <v>1</v>
      </c>
      <c r="BP63" s="3">
        <f ca="1"/>
        <v>0.17612850724845605</v>
      </c>
      <c r="BQ63" s="3">
        <f ca="1"/>
        <v>1</v>
      </c>
      <c r="BR63" s="8">
        <f ca="1"/>
        <v>0.78046156597653493</v>
      </c>
      <c r="BS63" s="3"/>
      <c r="BU63" s="7">
        <f ca="1"/>
        <v>0.62948157681499672</v>
      </c>
      <c r="BV63" s="3">
        <f ca="1"/>
        <v>1</v>
      </c>
      <c r="BW63" s="3">
        <f ca="1"/>
        <v>0.34139235886810937</v>
      </c>
      <c r="BX63" s="3">
        <f ca="1"/>
        <v>1</v>
      </c>
      <c r="BY63" s="8">
        <f ca="1"/>
        <v>0.37057343048749869</v>
      </c>
      <c r="CA63" s="29"/>
    </row>
    <row r="64" spans="1:79" s="1" customFormat="1" ht="18" customHeight="1" thickBot="1" x14ac:dyDescent="0.25">
      <c r="A64" s="7"/>
      <c r="B64" s="202"/>
      <c r="C64" s="9">
        <v>0.39234062054446517</v>
      </c>
      <c r="D64" s="10">
        <v>1</v>
      </c>
      <c r="E64" s="10">
        <v>1</v>
      </c>
      <c r="F64" s="10">
        <v>1</v>
      </c>
      <c r="G64" s="11">
        <v>0.51859300964167188</v>
      </c>
      <c r="H64" s="3"/>
      <c r="I64" s="3"/>
      <c r="J64" s="9">
        <f ca="1"/>
        <v>1</v>
      </c>
      <c r="K64" s="10">
        <f ca="1"/>
        <v>1</v>
      </c>
      <c r="L64" s="10">
        <f ca="1"/>
        <v>1</v>
      </c>
      <c r="M64" s="10">
        <f ca="1"/>
        <v>0.51859300964167188</v>
      </c>
      <c r="N64" s="11">
        <f ca="1"/>
        <v>0</v>
      </c>
      <c r="O64" s="3"/>
      <c r="P64" s="3"/>
      <c r="Q64" s="9">
        <f ca="1"/>
        <v>0.5856674842483911</v>
      </c>
      <c r="R64" s="10">
        <f ca="1"/>
        <v>1</v>
      </c>
      <c r="S64" s="10">
        <f ca="1"/>
        <v>1</v>
      </c>
      <c r="T64" s="10">
        <f ca="1"/>
        <v>1</v>
      </c>
      <c r="U64" s="11">
        <f ca="1"/>
        <v>0.47057062491834412</v>
      </c>
      <c r="V64" s="3"/>
      <c r="W64" s="3"/>
      <c r="X64" s="9">
        <f ca="1"/>
        <v>0.37057343048749869</v>
      </c>
      <c r="Y64" s="10">
        <f ca="1"/>
        <v>1</v>
      </c>
      <c r="Z64" s="10">
        <f ca="1"/>
        <v>0.34139235886810937</v>
      </c>
      <c r="AA64" s="10">
        <f ca="1"/>
        <v>1</v>
      </c>
      <c r="AB64" s="11">
        <f ca="1"/>
        <v>0.62948157681499672</v>
      </c>
      <c r="AC64" s="3"/>
      <c r="AD64" s="3"/>
      <c r="AE64" s="9">
        <f ca="1"/>
        <v>0</v>
      </c>
      <c r="AF64" s="10">
        <f ca="1"/>
        <v>0</v>
      </c>
      <c r="AG64" s="10">
        <f ca="1"/>
        <v>0</v>
      </c>
      <c r="AH64" s="10">
        <f ca="1"/>
        <v>0</v>
      </c>
      <c r="AI64" s="11">
        <f ca="1"/>
        <v>0</v>
      </c>
      <c r="AJ64" s="3"/>
      <c r="AK64" s="3"/>
      <c r="AL64" s="9">
        <f ca="1"/>
        <v>0.5856674842483911</v>
      </c>
      <c r="AM64" s="10">
        <f ca="1"/>
        <v>0.35891603721293253</v>
      </c>
      <c r="AN64" s="10">
        <f ca="1"/>
        <v>0.16479800860068505</v>
      </c>
      <c r="AO64" s="10">
        <f ca="1"/>
        <v>0.37057343048749869</v>
      </c>
      <c r="AP64" s="11">
        <f ca="1"/>
        <v>0.39234062054446517</v>
      </c>
      <c r="AQ64" s="3"/>
      <c r="AR64" s="3"/>
      <c r="AS64" s="9">
        <f ca="1"/>
        <v>0</v>
      </c>
      <c r="AT64" s="10">
        <f ca="1"/>
        <v>0.39234062054446517</v>
      </c>
      <c r="AU64" s="10">
        <f ca="1"/>
        <v>1</v>
      </c>
      <c r="AV64" s="10">
        <f ca="1"/>
        <v>1</v>
      </c>
      <c r="AW64" s="11">
        <f ca="1"/>
        <v>1</v>
      </c>
      <c r="AX64" s="3"/>
      <c r="AY64" s="3"/>
      <c r="AZ64" s="9">
        <f ca="1"/>
        <v>0.51859300964167188</v>
      </c>
      <c r="BA64" s="10">
        <f ca="1"/>
        <v>0.62948157681499672</v>
      </c>
      <c r="BB64" s="10">
        <f ca="1"/>
        <v>0.15381588292190895</v>
      </c>
      <c r="BC64" s="10">
        <f ca="1"/>
        <v>0.48459652030447498</v>
      </c>
      <c r="BD64" s="11">
        <f ca="1"/>
        <v>0.47057062491834412</v>
      </c>
      <c r="BE64" s="3"/>
      <c r="BG64" s="9">
        <f ca="1"/>
        <v>0.47057062491834412</v>
      </c>
      <c r="BH64" s="10">
        <f ca="1"/>
        <v>1</v>
      </c>
      <c r="BI64" s="10">
        <f ca="1"/>
        <v>1</v>
      </c>
      <c r="BJ64" s="10">
        <f ca="1"/>
        <v>1</v>
      </c>
      <c r="BK64" s="11">
        <f ca="1"/>
        <v>0.5856674842483911</v>
      </c>
      <c r="BL64" s="3"/>
      <c r="BM64" s="3"/>
      <c r="BN64" s="9">
        <f ca="1"/>
        <v>0.42614189289284721</v>
      </c>
      <c r="BO64" s="10">
        <f ca="1"/>
        <v>0.91442343145519156</v>
      </c>
      <c r="BP64" s="10">
        <f ca="1"/>
        <v>1</v>
      </c>
      <c r="BQ64" s="10">
        <f ca="1"/>
        <v>0.9297536709747638</v>
      </c>
      <c r="BR64" s="11">
        <f ca="1"/>
        <v>0.41103540829177881</v>
      </c>
      <c r="BS64" s="3"/>
      <c r="BU64" s="9">
        <f ca="1"/>
        <v>0.51859300964167188</v>
      </c>
      <c r="BV64" s="10">
        <f ca="1"/>
        <v>1</v>
      </c>
      <c r="BW64" s="10">
        <f ca="1"/>
        <v>1</v>
      </c>
      <c r="BX64" s="10">
        <f ca="1"/>
        <v>1</v>
      </c>
      <c r="BY64" s="11">
        <f ca="1"/>
        <v>0.39234062054446517</v>
      </c>
      <c r="CA64" s="29"/>
    </row>
    <row r="65" spans="1:79" s="1" customFormat="1" ht="18" customHeight="1" x14ac:dyDescent="0.2">
      <c r="A65" s="7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U65" s="3"/>
      <c r="BV65" s="3"/>
      <c r="BW65" s="3"/>
      <c r="BX65" s="3"/>
      <c r="BY65" s="3"/>
      <c r="CA65" s="29"/>
    </row>
    <row r="66" spans="1:79" s="1" customFormat="1" ht="18" customHeight="1" thickBot="1" x14ac:dyDescent="0.25">
      <c r="A66" s="7"/>
      <c r="B66" s="202">
        <v>9</v>
      </c>
      <c r="C66" s="200" t="s">
        <v>9</v>
      </c>
      <c r="D66" s="200"/>
      <c r="E66" s="200"/>
      <c r="F66" s="200"/>
      <c r="G66" s="200"/>
      <c r="H66" s="28"/>
      <c r="I66" s="3"/>
      <c r="J66" s="200" t="str" cm="1">
        <f t="array" aca="1" ref="J66" ca="1">INDEX(Helper!$E$13:$E$22, OFFSET(Helper!$J$13,$B66,J$2))</f>
        <v>Noise</v>
      </c>
      <c r="K66" s="200"/>
      <c r="L66" s="200"/>
      <c r="M66" s="200"/>
      <c r="N66" s="200"/>
      <c r="O66" s="3"/>
      <c r="P66" s="3"/>
      <c r="Q66" s="200" t="str" cm="1">
        <f t="array" aca="1" ref="Q66" ca="1">INDEX(Helper!$E$13:$E$22, OFFSET(Helper!$J$13,$B66,Q$2))</f>
        <v>90 CCW</v>
      </c>
      <c r="R66" s="200"/>
      <c r="S66" s="200"/>
      <c r="T66" s="200"/>
      <c r="U66" s="200"/>
      <c r="V66" s="3"/>
      <c r="W66" s="3"/>
      <c r="X66" s="200" t="str" cm="1">
        <f t="array" aca="1" ref="X66" ca="1">INDEX(Helper!$E$13:$E$22, OFFSET(Helper!$J$13,$B66,X$2))</f>
        <v>Shift Down</v>
      </c>
      <c r="Y66" s="200"/>
      <c r="Z66" s="200"/>
      <c r="AA66" s="200"/>
      <c r="AB66" s="200"/>
      <c r="AC66" s="3"/>
      <c r="AD66" s="3"/>
      <c r="AE66" s="200" t="str" cm="1">
        <f t="array" aca="1" ref="AE66" ca="1">INDEX(Helper!$E$13:$E$22, OFFSET(Helper!$J$13,$B66,AE$2))</f>
        <v>Vertical Flip</v>
      </c>
      <c r="AF66" s="200"/>
      <c r="AG66" s="200"/>
      <c r="AH66" s="200"/>
      <c r="AI66" s="200"/>
      <c r="AJ66" s="3"/>
      <c r="AK66" s="3"/>
      <c r="AL66" s="200" t="str" cm="1">
        <f t="array" aca="1" ref="AL66" ca="1">INDEX(Helper!$E$13:$E$22, OFFSET(Helper!$J$13,$B66,AL$2))</f>
        <v>180 Rotation</v>
      </c>
      <c r="AM66" s="200"/>
      <c r="AN66" s="200"/>
      <c r="AO66" s="200"/>
      <c r="AP66" s="200"/>
      <c r="AQ66" s="3"/>
      <c r="AR66" s="3"/>
      <c r="AS66" s="200" t="str" cm="1">
        <f t="array" aca="1" ref="AS66" ca="1">INDEX(Helper!$E$13:$E$22, OFFSET(Helper!$J$13,$B66,AS$2))</f>
        <v>Shift Up</v>
      </c>
      <c r="AT66" s="200"/>
      <c r="AU66" s="200"/>
      <c r="AV66" s="200"/>
      <c r="AW66" s="200"/>
      <c r="AX66" s="3"/>
      <c r="AY66" s="3"/>
      <c r="AZ66" s="200" t="str" cm="1">
        <f t="array" aca="1" ref="AZ66" ca="1">INDEX(Helper!$E$13:$E$22, OFFSET(Helper!$J$13,$B66,AZ$2))</f>
        <v>Shift Right</v>
      </c>
      <c r="BA66" s="200"/>
      <c r="BB66" s="200"/>
      <c r="BC66" s="200"/>
      <c r="BD66" s="200"/>
      <c r="BE66" s="3"/>
      <c r="BG66" s="200" t="str" cm="1">
        <f t="array" aca="1" ref="BG66" ca="1">INDEX(Helper!$E$13:$E$22, OFFSET(Helper!$J$13,$B66,BG$2))</f>
        <v>Shift Left</v>
      </c>
      <c r="BH66" s="200"/>
      <c r="BI66" s="200"/>
      <c r="BJ66" s="200"/>
      <c r="BK66" s="200"/>
      <c r="BL66" s="3"/>
      <c r="BM66" s="3"/>
      <c r="BN66" s="200" t="str" cm="1">
        <f t="array" aca="1" ref="BN66" ca="1">INDEX(Helper!$E$13:$E$22, OFFSET(Helper!$J$13,$B66,BN$2))</f>
        <v>90 CW</v>
      </c>
      <c r="BO66" s="200"/>
      <c r="BP66" s="200"/>
      <c r="BQ66" s="200"/>
      <c r="BR66" s="200"/>
      <c r="BS66" s="3"/>
      <c r="BU66" s="200" t="str" cm="1">
        <f t="array" aca="1" ref="BU66" ca="1">INDEX(Helper!$E$13:$E$22, OFFSET(Helper!$J$13,$B66,BU$2))</f>
        <v>Horizontal Flip</v>
      </c>
      <c r="BV66" s="200"/>
      <c r="BW66" s="200"/>
      <c r="BX66" s="200"/>
      <c r="BY66" s="200"/>
      <c r="CA66" s="29"/>
    </row>
    <row r="67" spans="1:79" s="1" customFormat="1" ht="18" customHeight="1" x14ac:dyDescent="0.2">
      <c r="A67" s="7"/>
      <c r="B67" s="202"/>
      <c r="C67" s="4">
        <v>0.18342546386617398</v>
      </c>
      <c r="D67" s="5">
        <v>1</v>
      </c>
      <c r="E67" s="5">
        <v>1</v>
      </c>
      <c r="F67" s="5">
        <v>1</v>
      </c>
      <c r="G67" s="6">
        <v>0.19947368371422125</v>
      </c>
      <c r="H67" s="3"/>
      <c r="I67" s="3"/>
      <c r="J67" s="4" cm="1">
        <f t="array" aca="1" ref="J67:N71" ca="1">_xlfn.IFS(J66="None",  $C67:$G71*0,           J66="Horizontal Flip", INDEX($C67:$G71, _xlfn.SEQUENCE(5), 6 - _xlfn.SEQUENCE(1,5)),        J66="Vertical Flip", INDEX($C67:$G71, 6 - _xlfn.SEQUENCE(5), _xlfn.SEQUENCE(1,5)),      J66="180 Rotation", INDEX($C67:$G71, 6 - _xlfn.SEQUENCE(5), 6 - _xlfn.SEQUENCE(1,5)),        J66="90 CW", INDEX($C67:$G71, 6 - _xlfn.SEQUENCE(1,5), _xlfn.SEQUENCE(5)),          J66="90 CCW", INDEX($C67:$G71, _xlfn.SEQUENCE(1,5), 6 - _xlfn.SEQUENCE(5)),         J66="Shift Up", IF(_xlfn.SEQUENCE(5)+1&lt;=5, INDEX($C67:$G71, _xlfn.SEQUENCE(5)+1, _xlfn.SEQUENCE(1,5)), 0),         J66="Shift Down", IF(_xlfn.SEQUENCE(5)-1&gt;=1, INDEX($C67:$G71, _xlfn.SEQUENCE(5)-1, _xlfn.SEQUENCE(1,5)), 0),         J66="Shift Left",   IF(_xlfn.SEQUENCE(1,5)+1&lt;=5, INDEX($C67:$G71, _xlfn.SEQUENCE(5), _xlfn.SEQUENCE(1,5)+1),0),         J66= "Shift Right",  IF(_xlfn.SEQUENCE(1,5)-1&gt;=1, INDEX($C67:$G71, _xlfn.SEQUENCE(5), _xlfn.SEQUENCE(1,5)-1), 0),        J66="Noise",  _xlfn.MAP($C67:$G71 + (_xlfn.RANDARRAY(ROWS($C67:$G71), COLUMNS($C67:$G71)) - 0.5) * 0.4, _xlfn.LAMBDA(_xlpm.x, MAX(0, MIN(1, _xlpm.x)))))</f>
        <v>3.9041599462709603E-2</v>
      </c>
      <c r="K67" s="5">
        <f ca="1"/>
        <v>0.9507891353310447</v>
      </c>
      <c r="L67" s="5">
        <f ca="1"/>
        <v>1</v>
      </c>
      <c r="M67" s="5">
        <f ca="1"/>
        <v>0.92340178717269561</v>
      </c>
      <c r="N67" s="6">
        <f ca="1"/>
        <v>0.30965492854373439</v>
      </c>
      <c r="O67" s="3"/>
      <c r="P67" s="3"/>
      <c r="Q67" s="4" cm="1">
        <f t="array" aca="1" ref="Q67:U71" ca="1">_xlfn.IFS(Q66="None",  $C67:$G71*0,           Q66="Horizontal Flip", INDEX($C67:$G71, _xlfn.SEQUENCE(5), 6 - _xlfn.SEQUENCE(1,5)),        Q66="Vertical Flip", INDEX($C67:$G71, 6 - _xlfn.SEQUENCE(5), _xlfn.SEQUENCE(1,5)),      Q66="180 Rotation", INDEX($C67:$G71, 6 - _xlfn.SEQUENCE(5), 6 - _xlfn.SEQUENCE(1,5)),        Q66="90 CW", INDEX($C67:$G71, 6 - _xlfn.SEQUENCE(1,5), _xlfn.SEQUENCE(5)),          Q66="90 CCW", INDEX($C67:$G71, _xlfn.SEQUENCE(1,5), 6 - _xlfn.SEQUENCE(5)),         Q66="Shift Up", IF(_xlfn.SEQUENCE(5)+1&lt;=5, INDEX($C67:$G71, _xlfn.SEQUENCE(5)+1, _xlfn.SEQUENCE(1,5)), 0),         Q66="Shift Down", IF(_xlfn.SEQUENCE(5)-1&gt;=1, INDEX($C67:$G71, _xlfn.SEQUENCE(5)-1, _xlfn.SEQUENCE(1,5)), 0),         Q66="Shift Left",   IF(_xlfn.SEQUENCE(1,5)+1&lt;=5, INDEX($C67:$G71, _xlfn.SEQUENCE(5), _xlfn.SEQUENCE(1,5)+1),0),         Q66= "Shift Right",  IF(_xlfn.SEQUENCE(1,5)-1&gt;=1, INDEX($C67:$G71, _xlfn.SEQUENCE(5), _xlfn.SEQUENCE(1,5)-1), 0),        Q66="Noise",  _xlfn.MAP($C67:$G71 + (_xlfn.RANDARRAY(ROWS($C67:$G71), COLUMNS($C67:$G71)) - 0.5) * 0.4, _xlfn.LAMBDA(_xlpm.x, MAX(0, MIN(1, _xlpm.x)))))</f>
        <v>0.19947368371422125</v>
      </c>
      <c r="R67" s="5">
        <f ca="1"/>
        <v>0.51874224090715226</v>
      </c>
      <c r="S67" s="5">
        <f ca="1"/>
        <v>0.18417476276971634</v>
      </c>
      <c r="T67" s="5">
        <f ca="1"/>
        <v>0.22639110829676889</v>
      </c>
      <c r="U67" s="6">
        <f ca="1"/>
        <v>0.53012316518173996</v>
      </c>
      <c r="V67" s="3"/>
      <c r="W67" s="3"/>
      <c r="X67" s="4" cm="1">
        <f t="array" aca="1" ref="X67:AB71" ca="1">_xlfn.IFS(X66="None",  $C67:$G71*0,           X66="Horizontal Flip", INDEX($C67:$G71, _xlfn.SEQUENCE(5), 6 - _xlfn.SEQUENCE(1,5)),        X66="Vertical Flip", INDEX($C67:$G71, 6 - _xlfn.SEQUENCE(5), _xlfn.SEQUENCE(1,5)),      X66="180 Rotation", INDEX($C67:$G71, 6 - _xlfn.SEQUENCE(5), 6 - _xlfn.SEQUENCE(1,5)),        X66="90 CW", INDEX($C67:$G71, 6 - _xlfn.SEQUENCE(1,5), _xlfn.SEQUENCE(5)),          X66="90 CCW", INDEX($C67:$G71, _xlfn.SEQUENCE(1,5), 6 - _xlfn.SEQUENCE(5)),         X66="Shift Up", IF(_xlfn.SEQUENCE(5)+1&lt;=5, INDEX($C67:$G71, _xlfn.SEQUENCE(5)+1, _xlfn.SEQUENCE(1,5)), 0),         X66="Shift Down", IF(_xlfn.SEQUENCE(5)-1&gt;=1, INDEX($C67:$G71, _xlfn.SEQUENCE(5)-1, _xlfn.SEQUENCE(1,5)), 0),         X66="Shift Left",   IF(_xlfn.SEQUENCE(1,5)+1&lt;=5, INDEX($C67:$G71, _xlfn.SEQUENCE(5), _xlfn.SEQUENCE(1,5)+1),0),         X66= "Shift Right",  IF(_xlfn.SEQUENCE(1,5)-1&gt;=1, INDEX($C67:$G71, _xlfn.SEQUENCE(5), _xlfn.SEQUENCE(1,5)-1), 0),        X66="Noise",  _xlfn.MAP($C67:$G71 + (_xlfn.RANDARRAY(ROWS($C67:$G71), COLUMNS($C67:$G71)) - 0.5) * 0.4, _xlfn.LAMBDA(_xlpm.x, MAX(0, MIN(1, _xlpm.x)))))</f>
        <v>0</v>
      </c>
      <c r="Y67" s="5">
        <f ca="1"/>
        <v>0</v>
      </c>
      <c r="Z67" s="5">
        <f ca="1"/>
        <v>0</v>
      </c>
      <c r="AA67" s="5">
        <f ca="1"/>
        <v>0</v>
      </c>
      <c r="AB67" s="6">
        <f ca="1"/>
        <v>0</v>
      </c>
      <c r="AC67" s="3"/>
      <c r="AD67" s="3"/>
      <c r="AE67" s="4" cm="1">
        <f t="array" aca="1" ref="AE67:AI71" ca="1">_xlfn.IFS(AE66="None",  $C67:$G71*0,           AE66="Horizontal Flip", INDEX($C67:$G71, _xlfn.SEQUENCE(5), 6 - _xlfn.SEQUENCE(1,5)),        AE66="Vertical Flip", INDEX($C67:$G71, 6 - _xlfn.SEQUENCE(5), _xlfn.SEQUENCE(1,5)),      AE66="180 Rotation", INDEX($C67:$G71, 6 - _xlfn.SEQUENCE(5), 6 - _xlfn.SEQUENCE(1,5)),        AE66="90 CW", INDEX($C67:$G71, 6 - _xlfn.SEQUENCE(1,5), _xlfn.SEQUENCE(5)),          AE66="90 CCW", INDEX($C67:$G71, _xlfn.SEQUENCE(1,5), 6 - _xlfn.SEQUENCE(5)),         AE66="Shift Up", IF(_xlfn.SEQUENCE(5)+1&lt;=5, INDEX($C67:$G71, _xlfn.SEQUENCE(5)+1, _xlfn.SEQUENCE(1,5)), 0),         AE66="Shift Down", IF(_xlfn.SEQUENCE(5)-1&gt;=1, INDEX($C67:$G71, _xlfn.SEQUENCE(5)-1, _xlfn.SEQUENCE(1,5)), 0),         AE66="Shift Left",   IF(_xlfn.SEQUENCE(1,5)+1&lt;=5, INDEX($C67:$G71, _xlfn.SEQUENCE(5), _xlfn.SEQUENCE(1,5)+1),0),         AE66= "Shift Right",  IF(_xlfn.SEQUENCE(1,5)-1&gt;=1, INDEX($C67:$G71, _xlfn.SEQUENCE(5), _xlfn.SEQUENCE(1,5)-1), 0),        AE66="Noise",  _xlfn.MAP($C67:$G71 + (_xlfn.RANDARRAY(ROWS($C67:$G71), COLUMNS($C67:$G71)) - 0.5) * 0.4, _xlfn.LAMBDA(_xlpm.x, MAX(0, MIN(1, _xlpm.x)))))</f>
        <v>0.19639197098300198</v>
      </c>
      <c r="AF67" s="5">
        <f ca="1"/>
        <v>1</v>
      </c>
      <c r="AG67" s="5">
        <f ca="1"/>
        <v>1</v>
      </c>
      <c r="AH67" s="5">
        <f ca="1"/>
        <v>1</v>
      </c>
      <c r="AI67" s="6">
        <f ca="1"/>
        <v>0.53012316518173996</v>
      </c>
      <c r="AJ67" s="3"/>
      <c r="AK67" s="3"/>
      <c r="AL67" s="4" cm="1">
        <f t="array" aca="1" ref="AL67:AP71" ca="1">_xlfn.IFS(AL66="None",  $C67:$G71*0,           AL66="Horizontal Flip", INDEX($C67:$G71, _xlfn.SEQUENCE(5), 6 - _xlfn.SEQUENCE(1,5)),        AL66="Vertical Flip", INDEX($C67:$G71, 6 - _xlfn.SEQUENCE(5), _xlfn.SEQUENCE(1,5)),      AL66="180 Rotation", INDEX($C67:$G71, 6 - _xlfn.SEQUENCE(5), 6 - _xlfn.SEQUENCE(1,5)),        AL66="90 CW", INDEX($C67:$G71, 6 - _xlfn.SEQUENCE(1,5), _xlfn.SEQUENCE(5)),          AL66="90 CCW", INDEX($C67:$G71, _xlfn.SEQUENCE(1,5), 6 - _xlfn.SEQUENCE(5)),         AL66="Shift Up", IF(_xlfn.SEQUENCE(5)+1&lt;=5, INDEX($C67:$G71, _xlfn.SEQUENCE(5)+1, _xlfn.SEQUENCE(1,5)), 0),         AL66="Shift Down", IF(_xlfn.SEQUENCE(5)-1&gt;=1, INDEX($C67:$G71, _xlfn.SEQUENCE(5)-1, _xlfn.SEQUENCE(1,5)), 0),         AL66="Shift Left",   IF(_xlfn.SEQUENCE(1,5)+1&lt;=5, INDEX($C67:$G71, _xlfn.SEQUENCE(5), _xlfn.SEQUENCE(1,5)+1),0),         AL66= "Shift Right",  IF(_xlfn.SEQUENCE(1,5)-1&gt;=1, INDEX($C67:$G71, _xlfn.SEQUENCE(5), _xlfn.SEQUENCE(1,5)-1), 0),        AL66="Noise",  _xlfn.MAP($C67:$G71 + (_xlfn.RANDARRAY(ROWS($C67:$G71), COLUMNS($C67:$G71)) - 0.5) * 0.4, _xlfn.LAMBDA(_xlpm.x, MAX(0, MIN(1, _xlpm.x)))))</f>
        <v>0.53012316518173996</v>
      </c>
      <c r="AM67" s="5">
        <f ca="1"/>
        <v>1</v>
      </c>
      <c r="AN67" s="5">
        <f ca="1"/>
        <v>1</v>
      </c>
      <c r="AO67" s="5">
        <f ca="1"/>
        <v>1</v>
      </c>
      <c r="AP67" s="6">
        <f ca="1"/>
        <v>0.19639197098300198</v>
      </c>
      <c r="AQ67" s="3"/>
      <c r="AR67" s="3"/>
      <c r="AS67" s="4" cm="1">
        <f t="array" aca="1" ref="AS67:AW71" ca="1">_xlfn.IFS(AS66="None",  $C67:$G71*0,           AS66="Horizontal Flip", INDEX($C67:$G71, _xlfn.SEQUENCE(5), 6 - _xlfn.SEQUENCE(1,5)),        AS66="Vertical Flip", INDEX($C67:$G71, 6 - _xlfn.SEQUENCE(5), _xlfn.SEQUENCE(1,5)),      AS66="180 Rotation", INDEX($C67:$G71, 6 - _xlfn.SEQUENCE(5), 6 - _xlfn.SEQUENCE(1,5)),        AS66="90 CW", INDEX($C67:$G71, 6 - _xlfn.SEQUENCE(1,5), _xlfn.SEQUENCE(5)),          AS66="90 CCW", INDEX($C67:$G71, _xlfn.SEQUENCE(1,5), 6 - _xlfn.SEQUENCE(5)),         AS66="Shift Up", IF(_xlfn.SEQUENCE(5)+1&lt;=5, INDEX($C67:$G71, _xlfn.SEQUENCE(5)+1, _xlfn.SEQUENCE(1,5)), 0),         AS66="Shift Down", IF(_xlfn.SEQUENCE(5)-1&gt;=1, INDEX($C67:$G71, _xlfn.SEQUENCE(5)-1, _xlfn.SEQUENCE(1,5)), 0),         AS66="Shift Left",   IF(_xlfn.SEQUENCE(1,5)+1&lt;=5, INDEX($C67:$G71, _xlfn.SEQUENCE(5), _xlfn.SEQUENCE(1,5)+1),0),         AS66= "Shift Right",  IF(_xlfn.SEQUENCE(1,5)-1&gt;=1, INDEX($C67:$G71, _xlfn.SEQUENCE(5), _xlfn.SEQUENCE(1,5)-1), 0),        AS66="Noise",  _xlfn.MAP($C67:$G71 + (_xlfn.RANDARRAY(ROWS($C67:$G71), COLUMNS($C67:$G71)) - 0.5) * 0.4, _xlfn.LAMBDA(_xlpm.x, MAX(0, MIN(1, _xlpm.x)))))</f>
        <v>0.26958536102128483</v>
      </c>
      <c r="AT67" s="5">
        <f ca="1"/>
        <v>1</v>
      </c>
      <c r="AU67" s="5">
        <f ca="1"/>
        <v>0.4874866902185151</v>
      </c>
      <c r="AV67" s="5">
        <f ca="1"/>
        <v>1</v>
      </c>
      <c r="AW67" s="6">
        <f ca="1"/>
        <v>0.51874224090715226</v>
      </c>
      <c r="AX67" s="3"/>
      <c r="AY67" s="3"/>
      <c r="AZ67" s="4" cm="1">
        <f t="array" aca="1" ref="AZ67:BD71" ca="1">_xlfn.IFS(AZ66="None",  $C67:$G71*0,           AZ66="Horizontal Flip", INDEX($C67:$G71, _xlfn.SEQUENCE(5), 6 - _xlfn.SEQUENCE(1,5)),        AZ66="Vertical Flip", INDEX($C67:$G71, 6 - _xlfn.SEQUENCE(5), _xlfn.SEQUENCE(1,5)),      AZ66="180 Rotation", INDEX($C67:$G71, 6 - _xlfn.SEQUENCE(5), 6 - _xlfn.SEQUENCE(1,5)),        AZ66="90 CW", INDEX($C67:$G71, 6 - _xlfn.SEQUENCE(1,5), _xlfn.SEQUENCE(5)),          AZ66="90 CCW", INDEX($C67:$G71, _xlfn.SEQUENCE(1,5), 6 - _xlfn.SEQUENCE(5)),         AZ66="Shift Up", IF(_xlfn.SEQUENCE(5)+1&lt;=5, INDEX($C67:$G71, _xlfn.SEQUENCE(5)+1, _xlfn.SEQUENCE(1,5)), 0),         AZ66="Shift Down", IF(_xlfn.SEQUENCE(5)-1&gt;=1, INDEX($C67:$G71, _xlfn.SEQUENCE(5)-1, _xlfn.SEQUENCE(1,5)), 0),         AZ66="Shift Left",   IF(_xlfn.SEQUENCE(1,5)+1&lt;=5, INDEX($C67:$G71, _xlfn.SEQUENCE(5), _xlfn.SEQUENCE(1,5)+1),0),         AZ66= "Shift Right",  IF(_xlfn.SEQUENCE(1,5)-1&gt;=1, INDEX($C67:$G71, _xlfn.SEQUENCE(5), _xlfn.SEQUENCE(1,5)-1), 0),        AZ66="Noise",  _xlfn.MAP($C67:$G71 + (_xlfn.RANDARRAY(ROWS($C67:$G71), COLUMNS($C67:$G71)) - 0.5) * 0.4, _xlfn.LAMBDA(_xlpm.x, MAX(0, MIN(1, _xlpm.x)))))</f>
        <v>0</v>
      </c>
      <c r="BA67" s="5">
        <f ca="1"/>
        <v>0.18342546386617398</v>
      </c>
      <c r="BB67" s="5">
        <f ca="1"/>
        <v>1</v>
      </c>
      <c r="BC67" s="5">
        <f ca="1"/>
        <v>1</v>
      </c>
      <c r="BD67" s="6">
        <f ca="1"/>
        <v>1</v>
      </c>
      <c r="BE67" s="3"/>
      <c r="BG67" s="4" cm="1">
        <f t="array" aca="1" ref="BG67:BK71" ca="1">_xlfn.IFS(BG66="None",  $C67:$G71*0,           BG66="Horizontal Flip", INDEX($C67:$G71, _xlfn.SEQUENCE(5), 6 - _xlfn.SEQUENCE(1,5)),        BG66="Vertical Flip", INDEX($C67:$G71, 6 - _xlfn.SEQUENCE(5), _xlfn.SEQUENCE(1,5)),      BG66="180 Rotation", INDEX($C67:$G71, 6 - _xlfn.SEQUENCE(5), 6 - _xlfn.SEQUENCE(1,5)),        BG66="90 CW", INDEX($C67:$G71, 6 - _xlfn.SEQUENCE(1,5), _xlfn.SEQUENCE(5)),          BG66="90 CCW", INDEX($C67:$G71, _xlfn.SEQUENCE(1,5), 6 - _xlfn.SEQUENCE(5)),         BG66="Shift Up", IF(_xlfn.SEQUENCE(5)+1&lt;=5, INDEX($C67:$G71, _xlfn.SEQUENCE(5)+1, _xlfn.SEQUENCE(1,5)), 0),         BG66="Shift Down", IF(_xlfn.SEQUENCE(5)-1&gt;=1, INDEX($C67:$G71, _xlfn.SEQUENCE(5)-1, _xlfn.SEQUENCE(1,5)), 0),         BG66="Shift Left",   IF(_xlfn.SEQUENCE(1,5)+1&lt;=5, INDEX($C67:$G71, _xlfn.SEQUENCE(5), _xlfn.SEQUENCE(1,5)+1),0),         BG66= "Shift Right",  IF(_xlfn.SEQUENCE(1,5)-1&gt;=1, INDEX($C67:$G71, _xlfn.SEQUENCE(5), _xlfn.SEQUENCE(1,5)-1), 0),        BG66="Noise",  _xlfn.MAP($C67:$G71 + (_xlfn.RANDARRAY(ROWS($C67:$G71), COLUMNS($C67:$G71)) - 0.5) * 0.4, _xlfn.LAMBDA(_xlpm.x, MAX(0, MIN(1, _xlpm.x)))))</f>
        <v>1</v>
      </c>
      <c r="BH67" s="5">
        <f ca="1"/>
        <v>1</v>
      </c>
      <c r="BI67" s="5">
        <f ca="1"/>
        <v>1</v>
      </c>
      <c r="BJ67" s="5">
        <f ca="1"/>
        <v>0.19947368371422125</v>
      </c>
      <c r="BK67" s="6">
        <f ca="1"/>
        <v>0</v>
      </c>
      <c r="BL67" s="3"/>
      <c r="BM67" s="3"/>
      <c r="BN67" s="4" cm="1">
        <f t="array" aca="1" ref="BN67:BR71" ca="1">_xlfn.IFS(BN66="None",  $C67:$G71*0,           BN66="Horizontal Flip", INDEX($C67:$G71, _xlfn.SEQUENCE(5), 6 - _xlfn.SEQUENCE(1,5)),        BN66="Vertical Flip", INDEX($C67:$G71, 6 - _xlfn.SEQUENCE(5), _xlfn.SEQUENCE(1,5)),      BN66="180 Rotation", INDEX($C67:$G71, 6 - _xlfn.SEQUENCE(5), 6 - _xlfn.SEQUENCE(1,5)),        BN66="90 CW", INDEX($C67:$G71, 6 - _xlfn.SEQUENCE(1,5), _xlfn.SEQUENCE(5)),          BN66="90 CCW", INDEX($C67:$G71, _xlfn.SEQUENCE(1,5), 6 - _xlfn.SEQUENCE(5)),         BN66="Shift Up", IF(_xlfn.SEQUENCE(5)+1&lt;=5, INDEX($C67:$G71, _xlfn.SEQUENCE(5)+1, _xlfn.SEQUENCE(1,5)), 0),         BN66="Shift Down", IF(_xlfn.SEQUENCE(5)-1&gt;=1, INDEX($C67:$G71, _xlfn.SEQUENCE(5)-1, _xlfn.SEQUENCE(1,5)), 0),         BN66="Shift Left",   IF(_xlfn.SEQUENCE(1,5)+1&lt;=5, INDEX($C67:$G71, _xlfn.SEQUENCE(5), _xlfn.SEQUENCE(1,5)+1),0),         BN66= "Shift Right",  IF(_xlfn.SEQUENCE(1,5)-1&gt;=1, INDEX($C67:$G71, _xlfn.SEQUENCE(5), _xlfn.SEQUENCE(1,5)-1), 0),        BN66="Noise",  _xlfn.MAP($C67:$G71 + (_xlfn.RANDARRAY(ROWS($C67:$G71), COLUMNS($C67:$G71)) - 0.5) * 0.4, _xlfn.LAMBDA(_xlpm.x, MAX(0, MIN(1, _xlpm.x)))))</f>
        <v>0.19639197098300198</v>
      </c>
      <c r="BO67" s="5">
        <f ca="1"/>
        <v>0.21732436038448644</v>
      </c>
      <c r="BP67" s="5">
        <f ca="1"/>
        <v>0.34709982929130223</v>
      </c>
      <c r="BQ67" s="5">
        <f ca="1"/>
        <v>0.26958536102128483</v>
      </c>
      <c r="BR67" s="6">
        <f ca="1"/>
        <v>0.18342546386617398</v>
      </c>
      <c r="BS67" s="3"/>
      <c r="BU67" s="4" cm="1">
        <f t="array" aca="1" ref="BU67:BY71" ca="1">_xlfn.IFS(BU66="None",  $C67:$G71*0,           BU66="Horizontal Flip", INDEX($C67:$G71, _xlfn.SEQUENCE(5), 6 - _xlfn.SEQUENCE(1,5)),        BU66="Vertical Flip", INDEX($C67:$G71, 6 - _xlfn.SEQUENCE(5), _xlfn.SEQUENCE(1,5)),      BU66="180 Rotation", INDEX($C67:$G71, 6 - _xlfn.SEQUENCE(5), 6 - _xlfn.SEQUENCE(1,5)),        BU66="90 CW", INDEX($C67:$G71, 6 - _xlfn.SEQUENCE(1,5), _xlfn.SEQUENCE(5)),          BU66="90 CCW", INDEX($C67:$G71, _xlfn.SEQUENCE(1,5), 6 - _xlfn.SEQUENCE(5)),         BU66="Shift Up", IF(_xlfn.SEQUENCE(5)+1&lt;=5, INDEX($C67:$G71, _xlfn.SEQUENCE(5)+1, _xlfn.SEQUENCE(1,5)), 0),         BU66="Shift Down", IF(_xlfn.SEQUENCE(5)-1&gt;=1, INDEX($C67:$G71, _xlfn.SEQUENCE(5)-1, _xlfn.SEQUENCE(1,5)), 0),         BU66="Shift Left",   IF(_xlfn.SEQUENCE(1,5)+1&lt;=5, INDEX($C67:$G71, _xlfn.SEQUENCE(5), _xlfn.SEQUENCE(1,5)+1),0),         BU66= "Shift Right",  IF(_xlfn.SEQUENCE(1,5)-1&gt;=1, INDEX($C67:$G71, _xlfn.SEQUENCE(5), _xlfn.SEQUENCE(1,5)-1), 0),        BU66="Noise",  _xlfn.MAP($C67:$G71 + (_xlfn.RANDARRAY(ROWS($C67:$G71), COLUMNS($C67:$G71)) - 0.5) * 0.4, _xlfn.LAMBDA(_xlpm.x, MAX(0, MIN(1, _xlpm.x)))))</f>
        <v>0.19947368371422125</v>
      </c>
      <c r="BV67" s="5">
        <f ca="1"/>
        <v>1</v>
      </c>
      <c r="BW67" s="5">
        <f ca="1"/>
        <v>1</v>
      </c>
      <c r="BX67" s="5">
        <f ca="1"/>
        <v>1</v>
      </c>
      <c r="BY67" s="6">
        <f ca="1"/>
        <v>0.18342546386617398</v>
      </c>
      <c r="CA67" s="29"/>
    </row>
    <row r="68" spans="1:79" s="1" customFormat="1" ht="18" customHeight="1" x14ac:dyDescent="0.2">
      <c r="A68" s="7"/>
      <c r="B68" s="202"/>
      <c r="C68" s="7">
        <v>0.26958536102128483</v>
      </c>
      <c r="D68" s="3">
        <v>1</v>
      </c>
      <c r="E68" s="3">
        <v>0.4874866902185151</v>
      </c>
      <c r="F68" s="3">
        <v>1</v>
      </c>
      <c r="G68" s="8">
        <v>0.51874224090715226</v>
      </c>
      <c r="H68" s="3"/>
      <c r="I68" s="3"/>
      <c r="J68" s="7">
        <f ca="1"/>
        <v>0.28842448201744086</v>
      </c>
      <c r="K68" s="3">
        <f ca="1"/>
        <v>1</v>
      </c>
      <c r="L68" s="3">
        <f ca="1"/>
        <v>0.34949876880946062</v>
      </c>
      <c r="M68" s="3">
        <f ca="1"/>
        <v>0.88796567318954911</v>
      </c>
      <c r="N68" s="8">
        <f ca="1"/>
        <v>0.44475491623334729</v>
      </c>
      <c r="O68" s="3"/>
      <c r="P68" s="3"/>
      <c r="Q68" s="7">
        <f ca="1"/>
        <v>1</v>
      </c>
      <c r="R68" s="3">
        <f ca="1"/>
        <v>1</v>
      </c>
      <c r="S68" s="3">
        <f ca="1"/>
        <v>1</v>
      </c>
      <c r="T68" s="3">
        <f ca="1"/>
        <v>1</v>
      </c>
      <c r="U68" s="8">
        <f ca="1"/>
        <v>1</v>
      </c>
      <c r="V68" s="3"/>
      <c r="W68" s="3"/>
      <c r="X68" s="7">
        <f ca="1"/>
        <v>0.18342546386617398</v>
      </c>
      <c r="Y68" s="3">
        <f ca="1"/>
        <v>1</v>
      </c>
      <c r="Z68" s="3">
        <f ca="1"/>
        <v>1</v>
      </c>
      <c r="AA68" s="3">
        <f ca="1"/>
        <v>1</v>
      </c>
      <c r="AB68" s="8">
        <f ca="1"/>
        <v>0.19947368371422125</v>
      </c>
      <c r="AC68" s="3"/>
      <c r="AD68" s="3"/>
      <c r="AE68" s="7">
        <f ca="1"/>
        <v>0.21732436038448644</v>
      </c>
      <c r="AF68" s="3">
        <f ca="1"/>
        <v>0.57542727657390846</v>
      </c>
      <c r="AG68" s="3">
        <f ca="1"/>
        <v>0.42233687282846499</v>
      </c>
      <c r="AH68" s="3">
        <f ca="1"/>
        <v>1</v>
      </c>
      <c r="AI68" s="8">
        <f ca="1"/>
        <v>0.22639110829676889</v>
      </c>
      <c r="AJ68" s="3"/>
      <c r="AK68" s="3"/>
      <c r="AL68" s="7">
        <f ca="1"/>
        <v>0.22639110829676889</v>
      </c>
      <c r="AM68" s="3">
        <f ca="1"/>
        <v>1</v>
      </c>
      <c r="AN68" s="3">
        <f ca="1"/>
        <v>0.42233687282846499</v>
      </c>
      <c r="AO68" s="3">
        <f ca="1"/>
        <v>0.57542727657390846</v>
      </c>
      <c r="AP68" s="8">
        <f ca="1"/>
        <v>0.21732436038448644</v>
      </c>
      <c r="AQ68" s="3"/>
      <c r="AR68" s="3"/>
      <c r="AS68" s="7">
        <f ca="1"/>
        <v>0.34709982929130223</v>
      </c>
      <c r="AT68" s="3">
        <f ca="1"/>
        <v>1</v>
      </c>
      <c r="AU68" s="3">
        <f ca="1"/>
        <v>1</v>
      </c>
      <c r="AV68" s="3">
        <f ca="1"/>
        <v>1</v>
      </c>
      <c r="AW68" s="8">
        <f ca="1"/>
        <v>0.18417476276971634</v>
      </c>
      <c r="AX68" s="3"/>
      <c r="AY68" s="3"/>
      <c r="AZ68" s="7">
        <f ca="1"/>
        <v>0</v>
      </c>
      <c r="BA68" s="3">
        <f ca="1"/>
        <v>0.26958536102128483</v>
      </c>
      <c r="BB68" s="3">
        <f ca="1"/>
        <v>1</v>
      </c>
      <c r="BC68" s="3">
        <f ca="1"/>
        <v>0.4874866902185151</v>
      </c>
      <c r="BD68" s="8">
        <f ca="1"/>
        <v>1</v>
      </c>
      <c r="BE68" s="3"/>
      <c r="BG68" s="7">
        <f ca="1"/>
        <v>1</v>
      </c>
      <c r="BH68" s="3">
        <f ca="1"/>
        <v>0.4874866902185151</v>
      </c>
      <c r="BI68" s="3">
        <f ca="1"/>
        <v>1</v>
      </c>
      <c r="BJ68" s="3">
        <f ca="1"/>
        <v>0.51874224090715226</v>
      </c>
      <c r="BK68" s="8">
        <f ca="1"/>
        <v>0</v>
      </c>
      <c r="BL68" s="3"/>
      <c r="BM68" s="3"/>
      <c r="BN68" s="7">
        <f ca="1"/>
        <v>1</v>
      </c>
      <c r="BO68" s="3">
        <f ca="1"/>
        <v>0.57542727657390846</v>
      </c>
      <c r="BP68" s="3">
        <f ca="1"/>
        <v>1</v>
      </c>
      <c r="BQ68" s="3">
        <f ca="1"/>
        <v>1</v>
      </c>
      <c r="BR68" s="8">
        <f ca="1"/>
        <v>1</v>
      </c>
      <c r="BS68" s="3"/>
      <c r="BU68" s="7">
        <f ca="1"/>
        <v>0.51874224090715226</v>
      </c>
      <c r="BV68" s="3">
        <f ca="1"/>
        <v>1</v>
      </c>
      <c r="BW68" s="3">
        <f ca="1"/>
        <v>0.4874866902185151</v>
      </c>
      <c r="BX68" s="3">
        <f ca="1"/>
        <v>1</v>
      </c>
      <c r="BY68" s="8">
        <f ca="1"/>
        <v>0.26958536102128483</v>
      </c>
      <c r="CA68" s="29"/>
    </row>
    <row r="69" spans="1:79" s="1" customFormat="1" ht="18" customHeight="1" x14ac:dyDescent="0.2">
      <c r="A69" s="7"/>
      <c r="B69" s="202"/>
      <c r="C69" s="7">
        <v>0.34709982929130223</v>
      </c>
      <c r="D69" s="3">
        <v>1</v>
      </c>
      <c r="E69" s="3">
        <v>1</v>
      </c>
      <c r="F69" s="3">
        <v>1</v>
      </c>
      <c r="G69" s="8">
        <v>0.18417476276971634</v>
      </c>
      <c r="H69" s="3"/>
      <c r="I69" s="3"/>
      <c r="J69" s="7">
        <f ca="1"/>
        <v>0.29451917341168138</v>
      </c>
      <c r="K69" s="3">
        <f ca="1"/>
        <v>0.88722852531939256</v>
      </c>
      <c r="L69" s="3">
        <f ca="1"/>
        <v>1</v>
      </c>
      <c r="M69" s="3">
        <f ca="1"/>
        <v>0.8702949587981923</v>
      </c>
      <c r="N69" s="8">
        <f ca="1"/>
        <v>0.13151379040474581</v>
      </c>
      <c r="O69" s="3"/>
      <c r="P69" s="3"/>
      <c r="Q69" s="7">
        <f ca="1"/>
        <v>1</v>
      </c>
      <c r="R69" s="3">
        <f ca="1"/>
        <v>0.4874866902185151</v>
      </c>
      <c r="S69" s="3">
        <f ca="1"/>
        <v>1</v>
      </c>
      <c r="T69" s="3">
        <f ca="1"/>
        <v>0.42233687282846499</v>
      </c>
      <c r="U69" s="8">
        <f ca="1"/>
        <v>1</v>
      </c>
      <c r="V69" s="3"/>
      <c r="W69" s="3"/>
      <c r="X69" s="7">
        <f ca="1"/>
        <v>0.26958536102128483</v>
      </c>
      <c r="Y69" s="3">
        <f ca="1"/>
        <v>1</v>
      </c>
      <c r="Z69" s="3">
        <f ca="1"/>
        <v>0.4874866902185151</v>
      </c>
      <c r="AA69" s="3">
        <f ca="1"/>
        <v>1</v>
      </c>
      <c r="AB69" s="8">
        <f ca="1"/>
        <v>0.51874224090715226</v>
      </c>
      <c r="AC69" s="3"/>
      <c r="AD69" s="3"/>
      <c r="AE69" s="7">
        <f ca="1"/>
        <v>0.34709982929130223</v>
      </c>
      <c r="AF69" s="3">
        <f ca="1"/>
        <v>1</v>
      </c>
      <c r="AG69" s="3">
        <f ca="1"/>
        <v>1</v>
      </c>
      <c r="AH69" s="3">
        <f ca="1"/>
        <v>1</v>
      </c>
      <c r="AI69" s="8">
        <f ca="1"/>
        <v>0.18417476276971634</v>
      </c>
      <c r="AJ69" s="3"/>
      <c r="AK69" s="3"/>
      <c r="AL69" s="7">
        <f ca="1"/>
        <v>0.18417476276971634</v>
      </c>
      <c r="AM69" s="3">
        <f ca="1"/>
        <v>1</v>
      </c>
      <c r="AN69" s="3">
        <f ca="1"/>
        <v>1</v>
      </c>
      <c r="AO69" s="3">
        <f ca="1"/>
        <v>1</v>
      </c>
      <c r="AP69" s="8">
        <f ca="1"/>
        <v>0.34709982929130223</v>
      </c>
      <c r="AQ69" s="3"/>
      <c r="AR69" s="3"/>
      <c r="AS69" s="7">
        <f ca="1"/>
        <v>0.21732436038448644</v>
      </c>
      <c r="AT69" s="3">
        <f ca="1"/>
        <v>0.57542727657390846</v>
      </c>
      <c r="AU69" s="3">
        <f ca="1"/>
        <v>0.42233687282846499</v>
      </c>
      <c r="AV69" s="3">
        <f ca="1"/>
        <v>1</v>
      </c>
      <c r="AW69" s="8">
        <f ca="1"/>
        <v>0.22639110829676889</v>
      </c>
      <c r="AX69" s="3"/>
      <c r="AY69" s="3"/>
      <c r="AZ69" s="7">
        <f ca="1"/>
        <v>0</v>
      </c>
      <c r="BA69" s="3">
        <f ca="1"/>
        <v>0.34709982929130223</v>
      </c>
      <c r="BB69" s="3">
        <f ca="1"/>
        <v>1</v>
      </c>
      <c r="BC69" s="3">
        <f ca="1"/>
        <v>1</v>
      </c>
      <c r="BD69" s="8">
        <f ca="1"/>
        <v>1</v>
      </c>
      <c r="BE69" s="3"/>
      <c r="BG69" s="7">
        <f ca="1"/>
        <v>1</v>
      </c>
      <c r="BH69" s="3">
        <f ca="1"/>
        <v>1</v>
      </c>
      <c r="BI69" s="3">
        <f ca="1"/>
        <v>1</v>
      </c>
      <c r="BJ69" s="3">
        <f ca="1"/>
        <v>0.18417476276971634</v>
      </c>
      <c r="BK69" s="8">
        <f ca="1"/>
        <v>0</v>
      </c>
      <c r="BL69" s="3"/>
      <c r="BM69" s="3"/>
      <c r="BN69" s="7">
        <f ca="1"/>
        <v>1</v>
      </c>
      <c r="BO69" s="3">
        <f ca="1"/>
        <v>0.42233687282846499</v>
      </c>
      <c r="BP69" s="3">
        <f ca="1"/>
        <v>1</v>
      </c>
      <c r="BQ69" s="3">
        <f ca="1"/>
        <v>0.4874866902185151</v>
      </c>
      <c r="BR69" s="8">
        <f ca="1"/>
        <v>1</v>
      </c>
      <c r="BS69" s="3"/>
      <c r="BU69" s="7">
        <f ca="1"/>
        <v>0.18417476276971634</v>
      </c>
      <c r="BV69" s="3">
        <f ca="1"/>
        <v>1</v>
      </c>
      <c r="BW69" s="3">
        <f ca="1"/>
        <v>1</v>
      </c>
      <c r="BX69" s="3">
        <f ca="1"/>
        <v>1</v>
      </c>
      <c r="BY69" s="8">
        <f ca="1"/>
        <v>0.34709982929130223</v>
      </c>
      <c r="CA69" s="29"/>
    </row>
    <row r="70" spans="1:79" s="1" customFormat="1" ht="18" customHeight="1" x14ac:dyDescent="0.2">
      <c r="A70" s="7"/>
      <c r="B70" s="202"/>
      <c r="C70" s="7">
        <v>0.21732436038448644</v>
      </c>
      <c r="D70" s="3">
        <v>0.57542727657390846</v>
      </c>
      <c r="E70" s="3">
        <v>0.42233687282846499</v>
      </c>
      <c r="F70" s="3">
        <v>1</v>
      </c>
      <c r="G70" s="8">
        <v>0.22639110829676889</v>
      </c>
      <c r="H70" s="3"/>
      <c r="I70" s="3"/>
      <c r="J70" s="7">
        <f ca="1"/>
        <v>0.37559004192145207</v>
      </c>
      <c r="K70" s="3">
        <f ca="1"/>
        <v>0.43810183585034068</v>
      </c>
      <c r="L70" s="3">
        <f ca="1"/>
        <v>0.40765772529975886</v>
      </c>
      <c r="M70" s="3">
        <f ca="1"/>
        <v>0.97779900528038965</v>
      </c>
      <c r="N70" s="8">
        <f ca="1"/>
        <v>0.36724660009139887</v>
      </c>
      <c r="O70" s="3"/>
      <c r="P70" s="3"/>
      <c r="Q70" s="7">
        <f ca="1"/>
        <v>1</v>
      </c>
      <c r="R70" s="3">
        <f ca="1"/>
        <v>1</v>
      </c>
      <c r="S70" s="3">
        <f ca="1"/>
        <v>1</v>
      </c>
      <c r="T70" s="3">
        <f ca="1"/>
        <v>0.57542727657390846</v>
      </c>
      <c r="U70" s="8">
        <f ca="1"/>
        <v>1</v>
      </c>
      <c r="V70" s="3"/>
      <c r="W70" s="3"/>
      <c r="X70" s="7">
        <f ca="1"/>
        <v>0.34709982929130223</v>
      </c>
      <c r="Y70" s="3">
        <f ca="1"/>
        <v>1</v>
      </c>
      <c r="Z70" s="3">
        <f ca="1"/>
        <v>1</v>
      </c>
      <c r="AA70" s="3">
        <f ca="1"/>
        <v>1</v>
      </c>
      <c r="AB70" s="8">
        <f ca="1"/>
        <v>0.18417476276971634</v>
      </c>
      <c r="AC70" s="3"/>
      <c r="AD70" s="3"/>
      <c r="AE70" s="7">
        <f ca="1"/>
        <v>0.26958536102128483</v>
      </c>
      <c r="AF70" s="3">
        <f ca="1"/>
        <v>1</v>
      </c>
      <c r="AG70" s="3">
        <f ca="1"/>
        <v>0.4874866902185151</v>
      </c>
      <c r="AH70" s="3">
        <f ca="1"/>
        <v>1</v>
      </c>
      <c r="AI70" s="8">
        <f ca="1"/>
        <v>0.51874224090715226</v>
      </c>
      <c r="AJ70" s="3"/>
      <c r="AK70" s="3"/>
      <c r="AL70" s="7">
        <f ca="1"/>
        <v>0.51874224090715226</v>
      </c>
      <c r="AM70" s="3">
        <f ca="1"/>
        <v>1</v>
      </c>
      <c r="AN70" s="3">
        <f ca="1"/>
        <v>0.4874866902185151</v>
      </c>
      <c r="AO70" s="3">
        <f ca="1"/>
        <v>1</v>
      </c>
      <c r="AP70" s="8">
        <f ca="1"/>
        <v>0.26958536102128483</v>
      </c>
      <c r="AQ70" s="3"/>
      <c r="AR70" s="3"/>
      <c r="AS70" s="7">
        <f ca="1"/>
        <v>0.19639197098300198</v>
      </c>
      <c r="AT70" s="3">
        <f ca="1"/>
        <v>1</v>
      </c>
      <c r="AU70" s="3">
        <f ca="1"/>
        <v>1</v>
      </c>
      <c r="AV70" s="3">
        <f ca="1"/>
        <v>1</v>
      </c>
      <c r="AW70" s="8">
        <f ca="1"/>
        <v>0.53012316518173996</v>
      </c>
      <c r="AX70" s="3"/>
      <c r="AY70" s="3"/>
      <c r="AZ70" s="7">
        <f ca="1"/>
        <v>0</v>
      </c>
      <c r="BA70" s="3">
        <f ca="1"/>
        <v>0.21732436038448644</v>
      </c>
      <c r="BB70" s="3">
        <f ca="1"/>
        <v>0.57542727657390846</v>
      </c>
      <c r="BC70" s="3">
        <f ca="1"/>
        <v>0.42233687282846499</v>
      </c>
      <c r="BD70" s="8">
        <f ca="1"/>
        <v>1</v>
      </c>
      <c r="BE70" s="3"/>
      <c r="BG70" s="7">
        <f ca="1"/>
        <v>0.57542727657390846</v>
      </c>
      <c r="BH70" s="3">
        <f ca="1"/>
        <v>0.42233687282846499</v>
      </c>
      <c r="BI70" s="3">
        <f ca="1"/>
        <v>1</v>
      </c>
      <c r="BJ70" s="3">
        <f ca="1"/>
        <v>0.22639110829676889</v>
      </c>
      <c r="BK70" s="8">
        <f ca="1"/>
        <v>0</v>
      </c>
      <c r="BL70" s="3"/>
      <c r="BM70" s="3"/>
      <c r="BN70" s="7">
        <f ca="1"/>
        <v>1</v>
      </c>
      <c r="BO70" s="3">
        <f ca="1"/>
        <v>1</v>
      </c>
      <c r="BP70" s="3">
        <f ca="1"/>
        <v>1</v>
      </c>
      <c r="BQ70" s="3">
        <f ca="1"/>
        <v>1</v>
      </c>
      <c r="BR70" s="8">
        <f ca="1"/>
        <v>1</v>
      </c>
      <c r="BS70" s="3"/>
      <c r="BU70" s="7">
        <f ca="1"/>
        <v>0.22639110829676889</v>
      </c>
      <c r="BV70" s="3">
        <f ca="1"/>
        <v>1</v>
      </c>
      <c r="BW70" s="3">
        <f ca="1"/>
        <v>0.42233687282846499</v>
      </c>
      <c r="BX70" s="3">
        <f ca="1"/>
        <v>0.57542727657390846</v>
      </c>
      <c r="BY70" s="8">
        <f ca="1"/>
        <v>0.21732436038448644</v>
      </c>
      <c r="CA70" s="29"/>
    </row>
    <row r="71" spans="1:79" s="1" customFormat="1" ht="18" customHeight="1" thickBot="1" x14ac:dyDescent="0.25">
      <c r="B71" s="202"/>
      <c r="C71" s="9">
        <v>0.19639197098300198</v>
      </c>
      <c r="D71" s="10">
        <v>1</v>
      </c>
      <c r="E71" s="10">
        <v>1</v>
      </c>
      <c r="F71" s="10">
        <v>1</v>
      </c>
      <c r="G71" s="11">
        <v>0.53012316518173996</v>
      </c>
      <c r="H71" s="3"/>
      <c r="I71" s="3"/>
      <c r="J71" s="9">
        <f ca="1"/>
        <v>0.31990199187461771</v>
      </c>
      <c r="K71" s="10">
        <f ca="1"/>
        <v>0.85766770398545078</v>
      </c>
      <c r="L71" s="10">
        <f ca="1"/>
        <v>0.93373993254957166</v>
      </c>
      <c r="M71" s="10">
        <f ca="1"/>
        <v>0.83181355291279691</v>
      </c>
      <c r="N71" s="11">
        <f ca="1"/>
        <v>0.64040297877964369</v>
      </c>
      <c r="O71" s="3"/>
      <c r="P71" s="3"/>
      <c r="Q71" s="9">
        <f ca="1"/>
        <v>0.18342546386617398</v>
      </c>
      <c r="R71" s="10">
        <f ca="1"/>
        <v>0.26958536102128483</v>
      </c>
      <c r="S71" s="10">
        <f ca="1"/>
        <v>0.34709982929130223</v>
      </c>
      <c r="T71" s="10">
        <f ca="1"/>
        <v>0.21732436038448644</v>
      </c>
      <c r="U71" s="11">
        <f ca="1"/>
        <v>0.19639197098300198</v>
      </c>
      <c r="V71" s="3"/>
      <c r="W71" s="3"/>
      <c r="X71" s="9">
        <f ca="1"/>
        <v>0.21732436038448644</v>
      </c>
      <c r="Y71" s="10">
        <f ca="1"/>
        <v>0.57542727657390846</v>
      </c>
      <c r="Z71" s="10">
        <f ca="1"/>
        <v>0.42233687282846499</v>
      </c>
      <c r="AA71" s="10">
        <f ca="1"/>
        <v>1</v>
      </c>
      <c r="AB71" s="11">
        <f ca="1"/>
        <v>0.22639110829676889</v>
      </c>
      <c r="AC71" s="3"/>
      <c r="AD71" s="3"/>
      <c r="AE71" s="9">
        <f ca="1"/>
        <v>0.18342546386617398</v>
      </c>
      <c r="AF71" s="10">
        <f ca="1"/>
        <v>1</v>
      </c>
      <c r="AG71" s="10">
        <f ca="1"/>
        <v>1</v>
      </c>
      <c r="AH71" s="10">
        <f ca="1"/>
        <v>1</v>
      </c>
      <c r="AI71" s="11">
        <f ca="1"/>
        <v>0.19947368371422125</v>
      </c>
      <c r="AJ71" s="3"/>
      <c r="AK71" s="3"/>
      <c r="AL71" s="9">
        <f ca="1"/>
        <v>0.19947368371422125</v>
      </c>
      <c r="AM71" s="10">
        <f ca="1"/>
        <v>1</v>
      </c>
      <c r="AN71" s="10">
        <f ca="1"/>
        <v>1</v>
      </c>
      <c r="AO71" s="10">
        <f ca="1"/>
        <v>1</v>
      </c>
      <c r="AP71" s="11">
        <f ca="1"/>
        <v>0.18342546386617398</v>
      </c>
      <c r="AQ71" s="3"/>
      <c r="AR71" s="3"/>
      <c r="AS71" s="9">
        <f ca="1"/>
        <v>0</v>
      </c>
      <c r="AT71" s="10">
        <f ca="1"/>
        <v>0</v>
      </c>
      <c r="AU71" s="10">
        <f ca="1"/>
        <v>0</v>
      </c>
      <c r="AV71" s="10">
        <f ca="1"/>
        <v>0</v>
      </c>
      <c r="AW71" s="11">
        <f ca="1"/>
        <v>0</v>
      </c>
      <c r="AX71" s="3"/>
      <c r="AY71" s="3"/>
      <c r="AZ71" s="9">
        <f ca="1"/>
        <v>0</v>
      </c>
      <c r="BA71" s="10">
        <f ca="1"/>
        <v>0.19639197098300198</v>
      </c>
      <c r="BB71" s="10">
        <f ca="1"/>
        <v>1</v>
      </c>
      <c r="BC71" s="10">
        <f ca="1"/>
        <v>1</v>
      </c>
      <c r="BD71" s="11">
        <f ca="1"/>
        <v>1</v>
      </c>
      <c r="BE71" s="3"/>
      <c r="BG71" s="9">
        <f ca="1"/>
        <v>1</v>
      </c>
      <c r="BH71" s="10">
        <f ca="1"/>
        <v>1</v>
      </c>
      <c r="BI71" s="10">
        <f ca="1"/>
        <v>1</v>
      </c>
      <c r="BJ71" s="10">
        <f ca="1"/>
        <v>0.53012316518173996</v>
      </c>
      <c r="BK71" s="11">
        <f ca="1"/>
        <v>0</v>
      </c>
      <c r="BL71" s="3"/>
      <c r="BM71" s="3"/>
      <c r="BN71" s="9">
        <f ca="1"/>
        <v>0.53012316518173996</v>
      </c>
      <c r="BO71" s="10">
        <f ca="1"/>
        <v>0.22639110829676889</v>
      </c>
      <c r="BP71" s="10">
        <f ca="1"/>
        <v>0.18417476276971634</v>
      </c>
      <c r="BQ71" s="10">
        <f ca="1"/>
        <v>0.51874224090715226</v>
      </c>
      <c r="BR71" s="11">
        <f ca="1"/>
        <v>0.19947368371422125</v>
      </c>
      <c r="BS71" s="3"/>
      <c r="BU71" s="9">
        <f ca="1"/>
        <v>0.53012316518173996</v>
      </c>
      <c r="BV71" s="10">
        <f ca="1"/>
        <v>1</v>
      </c>
      <c r="BW71" s="10">
        <f ca="1"/>
        <v>1</v>
      </c>
      <c r="BX71" s="10">
        <f ca="1"/>
        <v>1</v>
      </c>
      <c r="BY71" s="11">
        <f ca="1"/>
        <v>0.19639197098300198</v>
      </c>
      <c r="CA71" s="29"/>
    </row>
    <row r="72" spans="1:79" s="1" customFormat="1" ht="18" customHeight="1" x14ac:dyDescent="0.2">
      <c r="A72" s="7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E72" s="3"/>
      <c r="BL72" s="3"/>
      <c r="BN72" s="3"/>
      <c r="BO72" s="3"/>
      <c r="BP72" s="3"/>
      <c r="BQ72" s="3"/>
      <c r="BR72" s="3"/>
      <c r="BS72" s="3"/>
      <c r="CA72" s="29"/>
    </row>
    <row r="73" spans="1:79" s="1" customFormat="1" ht="18" customHeight="1" thickBot="1" x14ac:dyDescent="0.25">
      <c r="A73" s="9"/>
      <c r="B73" s="3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31"/>
      <c r="BE73" s="10"/>
      <c r="BF73" s="31"/>
      <c r="BG73" s="31"/>
      <c r="BH73" s="31"/>
      <c r="BI73" s="31"/>
      <c r="BJ73" s="31"/>
      <c r="BK73" s="31"/>
      <c r="BL73" s="10"/>
      <c r="BM73" s="31"/>
      <c r="BN73" s="10"/>
      <c r="BO73" s="10"/>
      <c r="BP73" s="10"/>
      <c r="BQ73" s="10"/>
      <c r="BR73" s="10"/>
      <c r="BS73" s="10"/>
      <c r="BT73" s="31"/>
      <c r="BU73" s="31"/>
      <c r="BV73" s="31"/>
      <c r="BW73" s="31"/>
      <c r="BX73" s="31"/>
      <c r="BY73" s="31"/>
      <c r="BZ73" s="31"/>
      <c r="CA73" s="32"/>
    </row>
  </sheetData>
  <mergeCells count="131">
    <mergeCell ref="B38:B43"/>
    <mergeCell ref="B45:B50"/>
    <mergeCell ref="B52:B57"/>
    <mergeCell ref="B59:B64"/>
    <mergeCell ref="B66:B71"/>
    <mergeCell ref="AS66:AW66"/>
    <mergeCell ref="AZ66:BD66"/>
    <mergeCell ref="BG66:BK66"/>
    <mergeCell ref="BN66:BR66"/>
    <mergeCell ref="J59:N59"/>
    <mergeCell ref="Q59:U59"/>
    <mergeCell ref="X59:AB59"/>
    <mergeCell ref="AE59:AI59"/>
    <mergeCell ref="C52:G52"/>
    <mergeCell ref="J52:N52"/>
    <mergeCell ref="Q52:U52"/>
    <mergeCell ref="X52:AB52"/>
    <mergeCell ref="AE52:AI52"/>
    <mergeCell ref="AL52:AP52"/>
    <mergeCell ref="AL45:AP45"/>
    <mergeCell ref="AS45:AW45"/>
    <mergeCell ref="AZ45:BD45"/>
    <mergeCell ref="BG45:BK45"/>
    <mergeCell ref="BN45:BR45"/>
    <mergeCell ref="BU66:BY66"/>
    <mergeCell ref="B3:B8"/>
    <mergeCell ref="B10:B15"/>
    <mergeCell ref="B17:B22"/>
    <mergeCell ref="B24:B29"/>
    <mergeCell ref="B31:B36"/>
    <mergeCell ref="C66:G66"/>
    <mergeCell ref="J66:N66"/>
    <mergeCell ref="Q66:U66"/>
    <mergeCell ref="X66:AB66"/>
    <mergeCell ref="AE66:AI66"/>
    <mergeCell ref="AL66:AP66"/>
    <mergeCell ref="AL59:AP59"/>
    <mergeCell ref="AS59:AW59"/>
    <mergeCell ref="AZ59:BD59"/>
    <mergeCell ref="BG59:BK59"/>
    <mergeCell ref="BN59:BR59"/>
    <mergeCell ref="BU59:BY59"/>
    <mergeCell ref="AS52:AW52"/>
    <mergeCell ref="AZ52:BD52"/>
    <mergeCell ref="BG52:BK52"/>
    <mergeCell ref="BN52:BR52"/>
    <mergeCell ref="BU52:BY52"/>
    <mergeCell ref="C59:G59"/>
    <mergeCell ref="BU45:BY45"/>
    <mergeCell ref="AS38:AW38"/>
    <mergeCell ref="AZ38:BD38"/>
    <mergeCell ref="BG38:BK38"/>
    <mergeCell ref="BN38:BR38"/>
    <mergeCell ref="BU38:BY38"/>
    <mergeCell ref="C45:G45"/>
    <mergeCell ref="J45:N45"/>
    <mergeCell ref="Q45:U45"/>
    <mergeCell ref="X45:AB45"/>
    <mergeCell ref="AE45:AI45"/>
    <mergeCell ref="C38:G38"/>
    <mergeCell ref="J38:N38"/>
    <mergeCell ref="Q38:U38"/>
    <mergeCell ref="X38:AB38"/>
    <mergeCell ref="AE38:AI38"/>
    <mergeCell ref="AL38:AP38"/>
    <mergeCell ref="AL31:AP31"/>
    <mergeCell ref="AS31:AW31"/>
    <mergeCell ref="AZ31:BD31"/>
    <mergeCell ref="BG31:BK31"/>
    <mergeCell ref="BN31:BR31"/>
    <mergeCell ref="BU31:BY31"/>
    <mergeCell ref="AS24:AW24"/>
    <mergeCell ref="AZ24:BD24"/>
    <mergeCell ref="BG24:BK24"/>
    <mergeCell ref="BN24:BR24"/>
    <mergeCell ref="BU24:BY24"/>
    <mergeCell ref="AL24:AP24"/>
    <mergeCell ref="C31:G31"/>
    <mergeCell ref="J31:N31"/>
    <mergeCell ref="Q31:U31"/>
    <mergeCell ref="X31:AB31"/>
    <mergeCell ref="AE31:AI31"/>
    <mergeCell ref="C24:G24"/>
    <mergeCell ref="J24:N24"/>
    <mergeCell ref="Q24:U24"/>
    <mergeCell ref="X24:AB24"/>
    <mergeCell ref="AE24:AI24"/>
    <mergeCell ref="AL17:AP17"/>
    <mergeCell ref="AS17:AW17"/>
    <mergeCell ref="AZ17:BD17"/>
    <mergeCell ref="BG17:BK17"/>
    <mergeCell ref="BN17:BR17"/>
    <mergeCell ref="BU17:BY17"/>
    <mergeCell ref="AS10:AW10"/>
    <mergeCell ref="AZ10:BD10"/>
    <mergeCell ref="BG10:BK10"/>
    <mergeCell ref="BN10:BR10"/>
    <mergeCell ref="BU10:BY10"/>
    <mergeCell ref="AL10:AP10"/>
    <mergeCell ref="C17:G17"/>
    <mergeCell ref="J17:N17"/>
    <mergeCell ref="Q17:U17"/>
    <mergeCell ref="X17:AB17"/>
    <mergeCell ref="AE17:AI17"/>
    <mergeCell ref="C10:G10"/>
    <mergeCell ref="J10:N10"/>
    <mergeCell ref="Q10:U10"/>
    <mergeCell ref="X10:AB10"/>
    <mergeCell ref="AE10:AI10"/>
    <mergeCell ref="AL3:AP3"/>
    <mergeCell ref="AS3:AW3"/>
    <mergeCell ref="AZ3:BD3"/>
    <mergeCell ref="BG3:BK3"/>
    <mergeCell ref="BN3:BR3"/>
    <mergeCell ref="BU3:BY3"/>
    <mergeCell ref="AS2:AW2"/>
    <mergeCell ref="AZ2:BD2"/>
    <mergeCell ref="BG2:BK2"/>
    <mergeCell ref="BN2:BR2"/>
    <mergeCell ref="BU2:BY2"/>
    <mergeCell ref="AL2:AP2"/>
    <mergeCell ref="C3:G3"/>
    <mergeCell ref="J3:N3"/>
    <mergeCell ref="Q3:U3"/>
    <mergeCell ref="X3:AB3"/>
    <mergeCell ref="AE3:AI3"/>
    <mergeCell ref="C2:G2"/>
    <mergeCell ref="J2:N2"/>
    <mergeCell ref="Q2:U2"/>
    <mergeCell ref="X2:AB2"/>
    <mergeCell ref="AE2:AI2"/>
  </mergeCells>
  <conditionalFormatting sqref="C72:H1048576 C3:H3 C10:H10 C17:H17 C24:H24 C31:H31 C38:H38 C45:H45 C52:H52 C59:H59 C66:H66 C4:N9 C11:N16 C25:N30 C32:N37 C46:N51 C53:N58 C67:N71 C18:N23 C39:N44 C60:N65 O3:O71 CA18:CD22">
    <cfRule type="colorScale" priority="22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Q4:U9 Q11:U16 Q18:U23 Q25:U30 Q32:U37 Q39:U44 Q46:U51 Q53:U58 Q60:U65 Q67:U71">
    <cfRule type="colorScale" priority="17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V3:V71">
    <cfRule type="colorScale" priority="9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W4:W9 W11:W16 W18:W23 W25:W30 W32:W37 W39:W44 W46:W51 W53:W58 W60:W65 W67:W71">
    <cfRule type="colorScale" priority="21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X4:AB9 X11:AB16 X18:AB23 X25:AB30 X32:AB37 X39:AB44 X46:AB51 X53:AB58 X60:AB65 X67:AB71">
    <cfRule type="colorScale" priority="16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AC3:AC71">
    <cfRule type="colorScale" priority="8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AE4:AI9 AE11:AI16 AE18:AI23 AE25:AI30 AE32:AI37 AE39:AI44 AE46:AI51 AE53:AI58 AE60:AI65 AE67:AI71">
    <cfRule type="colorScale" priority="15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AJ3:AJ71">
    <cfRule type="colorScale" priority="7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AK4:AK9 AK11:AK16 AK18:AK23 AK25:AK30 AK32:AK37 AK39:AK44 AK46:AK51 AK53:AK58 AK60:AK65 AK67:AK71">
    <cfRule type="colorScale" priority="20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AL4:AP9 AL11:AP16 AL18:AP23 AL25:AP30 AL32:AP37 AL39:AP44 AL46:AP51 AL53:AP58 AL60:AP65 AL67:AP71">
    <cfRule type="colorScale" priority="14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AQ3:AQ71">
    <cfRule type="colorScale" priority="6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AS4:AW9 AS11:AW16 AS18:AW23 AS25:AW30 AS32:AW37 AS39:AW44 AS46:AW51 AS53:AW58 AS60:AW65 AS67:AW71">
    <cfRule type="colorScale" priority="13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AX3:AX71">
    <cfRule type="colorScale" priority="5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AY4:AY9 AY11:AY16 AY18:AY23 AY25:AY30 AY32:AY37 AY39:AY44 AY46:AY51 AY53:AY58 AY60:AY65 AY67:AY71">
    <cfRule type="colorScale" priority="19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AZ4:BD9 AZ11:BD16 AZ18:BD23 AZ25:BD30 AZ32:BD37 AZ39:BD44 AZ46:BD51 AZ53:BD58 AZ60:BD65 AZ67:BD71">
    <cfRule type="colorScale" priority="12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BE3:BE71">
    <cfRule type="colorScale" priority="4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BG4:BK9 BG11:BK16 BG18:BK23 BG25:BK30 BG32:BK37 BG39:BK44 BG46:BK51 BG53:BK58 BG60:BK65 BG67:BK71">
    <cfRule type="colorScale" priority="11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BL3:BL71">
    <cfRule type="colorScale" priority="3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BM4:BM9 BM11:BM16 BM18:BM23 BM25:BM30 BM32:BM37 BM39:BM44 BM46:BM51 BM53:BM58 BM60:BM65 BM67:BM71">
    <cfRule type="colorScale" priority="18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BN4:BR9 BN11:BR16 BN18:BR23 BN25:BR30 BN32:BR37 BN39:BR44 BN46:BR51 BN53:BR58 BN60:BR65 BN67:BR71">
    <cfRule type="colorScale" priority="10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BS3:BS71">
    <cfRule type="colorScale" priority="2">
      <colorScale>
        <cfvo type="num" val="0"/>
        <cfvo type="num" val="1"/>
        <color theme="1" tint="0.14999847407452621"/>
        <color theme="0" tint="-4.9989318521683403E-2"/>
      </colorScale>
    </cfRule>
  </conditionalFormatting>
  <conditionalFormatting sqref="BU4:BY9 BU11:BY16 BU18:BY23 BU25:BY30 BU32:BY37 BU39:BY44 BU46:BY51 BU53:BY58 BU60:BY65 BU67:BY71">
    <cfRule type="colorScale" priority="1">
      <colorScale>
        <cfvo type="num" val="0"/>
        <cfvo type="num" val="1"/>
        <color theme="1" tint="0.14999847407452621"/>
        <color theme="0" tint="-4.9989318521683403E-2"/>
      </colorScale>
    </cfRule>
  </conditionalFormatting>
  <pageMargins left="0.25" right="0.25" top="0.75" bottom="0.75" header="0.3" footer="0.3"/>
  <pageSetup scale="33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9C60E12-7982-3747-B2ED-7F7F4D270C63}">
          <x14:formula1>
            <xm:f>Helper!$E$12:$E$22</xm:f>
          </x14:formula1>
          <xm:sqref>BN59:BR59 BN66:BR66 BU3:BY3 BU10:BY10 BU17:BY17 BU24:BY24 BU31:BY31 BU38:BY38 BU45:BY45 BU52:BY52 BU59:BY59 BG59:BK59 J38:N38 J17:N17 J52:N52 J45:N45 BN52:BR52 J31:N31 J24:N24 J3:N3 J10:N10 J59:N59 J66:N66 Q3:U3 Q10:U10 Q17:U17 Q24:U24 Q31:U31 Q38:U38 Q45:U45 Q52:U52 Q59:U59 X3:AB3 Q66:U66 X10:AB10 X17:AB17 X24:AB24 X31:AB31 X38:AB38 X45:AB45 X52:AB52 X59:AB59 X66:AB66 AE3:AI3 AE10:AI10 AE17:AI17 AE24:AI24 AE31:AI31 AE38:AI38 BN24:BR24 AE45:AI45 AE52:AI52 AE59:AI59 AL3:AP3 BN45:BR45 BN38:BR38 AE66:AI66 BN31:BR31 BN17:BR17 BN10:BR10 BN3:BR3 BG66:BK66 AL66:AP66 AS3:AW3 AS10:AW10 AS17:AW17 AS24:AW24 AS31:AW31 AS38:AW38 AS45:AW45 AS52:AW52 AS59:AW59 AS66:AW66 AZ3:BD3 AZ10:BD10 AZ17:BD17 AZ24:BD24 AZ31:BD31 AZ38:BD38 AZ45:BD45 AZ52:BD52 AZ59:BD59 AZ66:BD66 BG3:BK3 BG10:BK10 BG17:BK17 BG24:BK24 BG31:BK31 BG38:BK38 BG45:BK45 BG52:BK52 AL10:AP10 AL17:AP17 AL24:AP24 AL31:AP31 AL38:AP38 AL45:AP45 AL52:AP52 AL59:AP59 BU66:BY66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9A6C1-F9B1-1D4D-B991-6D5EB052FE8A}">
  <sheetPr codeName="Sheet4"/>
  <dimension ref="A1:BD64"/>
  <sheetViews>
    <sheetView showGridLines="0" topLeftCell="F1" zoomScale="118" workbookViewId="0">
      <pane ySplit="1" topLeftCell="A11" activePane="bottomLeft" state="frozen"/>
      <selection pane="bottomLeft" activeCell="AA23" sqref="AA23"/>
    </sheetView>
  </sheetViews>
  <sheetFormatPr baseColWidth="10" defaultColWidth="3.83203125" defaultRowHeight="15" x14ac:dyDescent="0.2"/>
  <cols>
    <col min="1" max="1" width="4.33203125" style="37" bestFit="1" customWidth="1"/>
    <col min="2" max="15" width="4.1640625" style="13" bestFit="1" customWidth="1"/>
    <col min="16" max="16" width="3.83203125" style="13" customWidth="1"/>
    <col min="17" max="19" width="4.1640625" style="13" bestFit="1" customWidth="1"/>
    <col min="20" max="20" width="3.83203125" style="13" customWidth="1"/>
    <col min="21" max="22" width="4.1640625" style="13" bestFit="1" customWidth="1"/>
    <col min="23" max="23" width="3.83203125" style="13" customWidth="1"/>
    <col min="24" max="24" width="4.1640625" style="13" bestFit="1" customWidth="1"/>
    <col min="25" max="25" width="3.83203125" style="39" customWidth="1"/>
    <col min="26" max="30" width="4.1640625" style="39" bestFit="1" customWidth="1"/>
    <col min="31" max="35" width="4.1640625" style="13" bestFit="1" customWidth="1"/>
    <col min="36" max="44" width="4" style="13" bestFit="1" customWidth="1"/>
    <col min="45" max="45" width="18.1640625" style="13" customWidth="1"/>
    <col min="46" max="46" width="9.1640625" style="13" customWidth="1"/>
    <col min="47" max="47" width="7.6640625" style="13" customWidth="1"/>
    <col min="48" max="56" width="4" style="13" bestFit="1" customWidth="1"/>
    <col min="57" max="16384" width="3.83203125" style="13"/>
  </cols>
  <sheetData>
    <row r="1" spans="1:56" s="37" customFormat="1" ht="20" customHeight="1" x14ac:dyDescent="0.2">
      <c r="A1" s="37">
        <v>0</v>
      </c>
      <c r="B1" s="37">
        <v>1</v>
      </c>
      <c r="C1" s="37">
        <v>2</v>
      </c>
      <c r="D1" s="64" t="s">
        <v>91</v>
      </c>
      <c r="E1" s="65"/>
      <c r="F1" s="65"/>
      <c r="G1" s="65"/>
      <c r="H1" s="65"/>
      <c r="I1" s="65"/>
      <c r="J1" s="65"/>
      <c r="K1" s="65"/>
      <c r="L1" s="65"/>
      <c r="M1" s="65"/>
      <c r="N1" s="65"/>
      <c r="P1" s="37">
        <v>15</v>
      </c>
      <c r="Q1" s="37">
        <v>16</v>
      </c>
      <c r="R1" s="37">
        <v>17</v>
      </c>
      <c r="S1" s="37">
        <v>18</v>
      </c>
      <c r="T1" s="37">
        <v>19</v>
      </c>
      <c r="U1" s="37">
        <v>20</v>
      </c>
      <c r="V1" s="37">
        <v>21</v>
      </c>
      <c r="W1" s="37">
        <v>22</v>
      </c>
      <c r="X1" s="80">
        <v>23</v>
      </c>
      <c r="Y1" s="37">
        <v>24</v>
      </c>
      <c r="Z1" s="37">
        <v>25</v>
      </c>
      <c r="AA1" s="37">
        <v>26</v>
      </c>
      <c r="AB1" s="37">
        <v>27</v>
      </c>
      <c r="AC1" s="37">
        <v>28</v>
      </c>
      <c r="AD1" s="37">
        <v>29</v>
      </c>
      <c r="AE1" s="37">
        <v>30</v>
      </c>
      <c r="AF1" s="37">
        <v>31</v>
      </c>
      <c r="AG1" s="37">
        <v>32</v>
      </c>
      <c r="AH1" s="37">
        <v>33</v>
      </c>
      <c r="AI1" s="37">
        <v>34</v>
      </c>
      <c r="AJ1" s="37">
        <v>35</v>
      </c>
      <c r="AK1" s="37">
        <v>36</v>
      </c>
      <c r="AL1" s="37">
        <v>37</v>
      </c>
      <c r="AM1" s="37">
        <v>38</v>
      </c>
      <c r="AN1" s="37">
        <v>39</v>
      </c>
      <c r="AO1" s="37">
        <v>40</v>
      </c>
      <c r="AP1" s="37">
        <v>41</v>
      </c>
      <c r="AQ1" s="37">
        <v>42</v>
      </c>
      <c r="AR1" s="37">
        <v>43</v>
      </c>
      <c r="AS1" s="37">
        <v>44</v>
      </c>
      <c r="AT1" s="37">
        <v>45</v>
      </c>
      <c r="AU1" s="37">
        <v>46</v>
      </c>
      <c r="AV1" s="37">
        <v>47</v>
      </c>
      <c r="AW1" s="37">
        <v>48</v>
      </c>
      <c r="AX1" s="37">
        <v>49</v>
      </c>
      <c r="AY1" s="37">
        <v>50</v>
      </c>
      <c r="AZ1" s="37">
        <v>51</v>
      </c>
      <c r="BA1" s="37">
        <v>52</v>
      </c>
      <c r="BB1" s="37">
        <v>53</v>
      </c>
      <c r="BC1" s="37">
        <v>54</v>
      </c>
      <c r="BD1" s="37">
        <v>55</v>
      </c>
    </row>
    <row r="2" spans="1:56" x14ac:dyDescent="0.2">
      <c r="A2" s="37">
        <v>1</v>
      </c>
      <c r="C2" s="23" t="s">
        <v>19</v>
      </c>
      <c r="AS2" s="13" t="s">
        <v>240</v>
      </c>
      <c r="AT2" s="13" t="s">
        <v>3</v>
      </c>
      <c r="AU2" s="13" t="s">
        <v>86</v>
      </c>
    </row>
    <row r="3" spans="1:56" x14ac:dyDescent="0.2">
      <c r="A3" s="37">
        <v>2</v>
      </c>
      <c r="C3" s="47"/>
      <c r="D3" s="40"/>
      <c r="E3" s="49" t="s">
        <v>20</v>
      </c>
      <c r="F3" s="35" t="s">
        <v>21</v>
      </c>
      <c r="G3" s="35" t="s">
        <v>22</v>
      </c>
      <c r="H3" s="35" t="s">
        <v>23</v>
      </c>
      <c r="I3" s="35" t="s">
        <v>24</v>
      </c>
      <c r="J3" s="38" t="s">
        <v>25</v>
      </c>
      <c r="K3" s="15"/>
      <c r="L3" s="15"/>
      <c r="M3" s="15"/>
      <c r="N3" s="16"/>
      <c r="AS3" s="13" t="s">
        <v>5</v>
      </c>
      <c r="AT3" s="13" t="s">
        <v>48</v>
      </c>
      <c r="AU3" s="13" t="s">
        <v>5</v>
      </c>
    </row>
    <row r="4" spans="1:56" x14ac:dyDescent="0.2">
      <c r="A4" s="37">
        <v>3</v>
      </c>
      <c r="C4" s="42"/>
      <c r="D4" s="39"/>
      <c r="E4" s="48" t="s">
        <v>26</v>
      </c>
      <c r="F4" s="13">
        <v>10</v>
      </c>
      <c r="G4" s="13">
        <v>11</v>
      </c>
      <c r="H4" s="13">
        <v>5</v>
      </c>
      <c r="I4" s="13">
        <v>5</v>
      </c>
      <c r="J4" s="13">
        <v>2</v>
      </c>
      <c r="N4" s="18"/>
      <c r="AS4" s="13" t="s">
        <v>5</v>
      </c>
      <c r="AT4" s="13" t="s">
        <v>47</v>
      </c>
      <c r="AU4" s="13" t="s">
        <v>5</v>
      </c>
    </row>
    <row r="5" spans="1:56" x14ac:dyDescent="0.2">
      <c r="A5" s="37">
        <v>4</v>
      </c>
      <c r="C5" s="42"/>
      <c r="D5" s="39"/>
      <c r="E5" s="48" t="s">
        <v>27</v>
      </c>
      <c r="F5" s="13">
        <v>5</v>
      </c>
      <c r="G5" s="13">
        <v>6</v>
      </c>
      <c r="H5" s="13">
        <v>7</v>
      </c>
      <c r="I5" s="13">
        <v>7</v>
      </c>
      <c r="J5" s="13">
        <v>2</v>
      </c>
      <c r="N5" s="18"/>
      <c r="AS5" s="13" t="s">
        <v>5</v>
      </c>
      <c r="AT5" s="13" t="s">
        <v>3</v>
      </c>
      <c r="AU5" s="13" t="s">
        <v>88</v>
      </c>
    </row>
    <row r="6" spans="1:56" x14ac:dyDescent="0.2">
      <c r="A6" s="37">
        <v>5</v>
      </c>
      <c r="C6" s="42"/>
      <c r="D6" s="39"/>
      <c r="E6" s="43"/>
      <c r="N6" s="18"/>
      <c r="AS6" s="13" t="s">
        <v>5</v>
      </c>
      <c r="AT6" s="13" t="s">
        <v>47</v>
      </c>
      <c r="AU6" s="13" t="s">
        <v>5</v>
      </c>
    </row>
    <row r="7" spans="1:56" x14ac:dyDescent="0.2">
      <c r="A7" s="37">
        <v>6</v>
      </c>
      <c r="C7" s="44"/>
      <c r="D7" s="45"/>
      <c r="E7" s="46"/>
      <c r="F7" s="20"/>
      <c r="G7" s="20"/>
      <c r="H7" s="20"/>
      <c r="I7" s="20"/>
      <c r="J7" s="20"/>
      <c r="K7" s="20"/>
      <c r="L7" s="20"/>
      <c r="M7" s="20"/>
      <c r="N7" s="21"/>
      <c r="AS7" s="13" t="s">
        <v>5</v>
      </c>
      <c r="AT7" s="13" t="s">
        <v>3</v>
      </c>
      <c r="AU7" s="13" t="s">
        <v>90</v>
      </c>
    </row>
    <row r="8" spans="1:56" x14ac:dyDescent="0.2">
      <c r="A8" s="37">
        <v>7</v>
      </c>
      <c r="AS8" s="13" t="s">
        <v>5</v>
      </c>
      <c r="AT8" s="13" t="s">
        <v>47</v>
      </c>
      <c r="AU8" s="13" t="s">
        <v>5</v>
      </c>
    </row>
    <row r="9" spans="1:56" x14ac:dyDescent="0.2">
      <c r="A9" s="37">
        <v>8</v>
      </c>
      <c r="C9" s="23" t="s">
        <v>28</v>
      </c>
      <c r="AS9" s="13" t="s">
        <v>5</v>
      </c>
      <c r="AT9" s="13" t="s">
        <v>6</v>
      </c>
      <c r="AU9" s="13" t="s">
        <v>5</v>
      </c>
    </row>
    <row r="10" spans="1:56" x14ac:dyDescent="0.2">
      <c r="A10" s="37">
        <v>9</v>
      </c>
      <c r="C10" s="14"/>
      <c r="D10" s="15"/>
      <c r="E10" s="15"/>
      <c r="F10" s="15"/>
      <c r="G10" s="15"/>
      <c r="H10" s="15"/>
      <c r="I10" s="14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6"/>
      <c r="AS10" s="13" t="s">
        <v>5</v>
      </c>
      <c r="AT10" s="13" t="s">
        <v>48</v>
      </c>
      <c r="AU10" s="13" t="s">
        <v>5</v>
      </c>
    </row>
    <row r="11" spans="1:56" x14ac:dyDescent="0.2">
      <c r="A11" s="37">
        <v>10</v>
      </c>
      <c r="C11" s="17"/>
      <c r="D11" s="34" t="s">
        <v>29</v>
      </c>
      <c r="I11" s="17"/>
      <c r="J11" s="34" t="s">
        <v>30</v>
      </c>
      <c r="U11" s="18"/>
      <c r="AS11" s="13" t="s">
        <v>5</v>
      </c>
      <c r="AT11" s="13" t="s">
        <v>3</v>
      </c>
      <c r="AU11" s="13" t="s">
        <v>88</v>
      </c>
    </row>
    <row r="12" spans="1:56" x14ac:dyDescent="0.2">
      <c r="A12" s="37">
        <v>11</v>
      </c>
      <c r="C12" s="17"/>
      <c r="D12" s="36">
        <v>0</v>
      </c>
      <c r="E12" s="22" t="s">
        <v>31</v>
      </c>
      <c r="F12" s="36"/>
      <c r="G12" s="36"/>
      <c r="H12" s="36"/>
      <c r="I12" s="17"/>
      <c r="J12" s="20">
        <v>0</v>
      </c>
      <c r="K12" s="20">
        <v>1</v>
      </c>
      <c r="L12" s="20">
        <v>2</v>
      </c>
      <c r="M12" s="20">
        <v>3</v>
      </c>
      <c r="N12" s="20">
        <v>4</v>
      </c>
      <c r="O12" s="20">
        <v>5</v>
      </c>
      <c r="P12" s="20">
        <v>6</v>
      </c>
      <c r="Q12" s="20">
        <v>7</v>
      </c>
      <c r="R12" s="20">
        <v>8</v>
      </c>
      <c r="S12" s="20">
        <v>9</v>
      </c>
      <c r="T12" s="20">
        <v>10</v>
      </c>
      <c r="U12" s="18"/>
      <c r="W12" s="14"/>
      <c r="X12" s="15"/>
      <c r="Y12" s="40"/>
      <c r="Z12" s="40"/>
      <c r="AA12" s="40"/>
      <c r="AB12" s="40"/>
      <c r="AC12" s="40"/>
      <c r="AD12" s="41"/>
      <c r="AS12" s="13" t="s">
        <v>5</v>
      </c>
      <c r="AT12" s="13" t="s">
        <v>48</v>
      </c>
      <c r="AU12" s="13" t="s">
        <v>5</v>
      </c>
    </row>
    <row r="13" spans="1:56" x14ac:dyDescent="0.2">
      <c r="A13" s="37">
        <v>12</v>
      </c>
      <c r="C13" s="17"/>
      <c r="D13" s="36">
        <v>1</v>
      </c>
      <c r="E13" s="22" t="s">
        <v>16</v>
      </c>
      <c r="F13" s="36"/>
      <c r="G13" s="36"/>
      <c r="H13" s="36"/>
      <c r="I13" s="22">
        <v>0</v>
      </c>
      <c r="J13" s="13">
        <v>0</v>
      </c>
      <c r="K13">
        <v>2</v>
      </c>
      <c r="L13">
        <v>9</v>
      </c>
      <c r="M13">
        <v>5</v>
      </c>
      <c r="N13">
        <v>6</v>
      </c>
      <c r="O13">
        <v>7</v>
      </c>
      <c r="P13">
        <v>8</v>
      </c>
      <c r="Q13">
        <v>3</v>
      </c>
      <c r="R13">
        <v>10</v>
      </c>
      <c r="S13">
        <v>1</v>
      </c>
      <c r="T13">
        <v>4</v>
      </c>
      <c r="U13" s="18"/>
      <c r="W13" s="17"/>
      <c r="X13" s="13" t="s">
        <v>32</v>
      </c>
      <c r="Y13" s="39" t="e" cm="1">
        <f t="array" aca="1" ref="Y13" ca="1">TRANSPOSE(INDEX(_xlfn.SORTBY(_xlfn.SEQUENCE(F4,1,0,1),_xlfn.RANDARRAY(F4)),_xlfn.SEQUENCE(batch)))</f>
        <v>#NAME?</v>
      </c>
      <c r="AD13" s="43"/>
      <c r="AF13">
        <v>2</v>
      </c>
      <c r="AG13">
        <v>9</v>
      </c>
      <c r="AH13">
        <v>5</v>
      </c>
      <c r="AI13">
        <v>6</v>
      </c>
      <c r="AJ13">
        <v>7</v>
      </c>
      <c r="AK13">
        <v>8</v>
      </c>
      <c r="AL13">
        <v>3</v>
      </c>
      <c r="AM13">
        <v>10</v>
      </c>
      <c r="AN13">
        <v>1</v>
      </c>
      <c r="AO13">
        <v>4</v>
      </c>
      <c r="AS13" s="13" t="s">
        <v>5</v>
      </c>
      <c r="AT13" s="13" t="s">
        <v>49</v>
      </c>
      <c r="AU13" s="13" t="s">
        <v>5</v>
      </c>
    </row>
    <row r="14" spans="1:56" x14ac:dyDescent="0.2">
      <c r="A14" s="37">
        <v>13</v>
      </c>
      <c r="C14" s="17"/>
      <c r="D14" s="36">
        <v>2</v>
      </c>
      <c r="E14" s="22" t="s">
        <v>33</v>
      </c>
      <c r="F14" s="36"/>
      <c r="G14" s="36"/>
      <c r="H14" s="36"/>
      <c r="I14" s="22">
        <v>1</v>
      </c>
      <c r="J14" s="13">
        <v>0</v>
      </c>
      <c r="K14">
        <v>2</v>
      </c>
      <c r="L14">
        <v>1</v>
      </c>
      <c r="M14">
        <v>9</v>
      </c>
      <c r="N14">
        <v>4</v>
      </c>
      <c r="O14">
        <v>8</v>
      </c>
      <c r="P14">
        <v>10</v>
      </c>
      <c r="Q14">
        <v>3</v>
      </c>
      <c r="R14">
        <v>7</v>
      </c>
      <c r="S14">
        <v>5</v>
      </c>
      <c r="T14">
        <v>6</v>
      </c>
      <c r="U14" s="18"/>
      <c r="W14" s="17"/>
      <c r="X14" s="13" t="s">
        <v>34</v>
      </c>
      <c r="Y14" s="39" t="e" cm="1">
        <f t="array" aca="1" ref="Y14" ca="1">TRANSPOSE(INDEX(_xlfn.SORTBY(_xlfn.SEQUENCE(G4,1,0,1),_xlfn.RANDARRAY(G4)),_xlfn.SEQUENCE(batch)))</f>
        <v>#NAME?</v>
      </c>
      <c r="AD14" s="43"/>
      <c r="AF14">
        <v>2</v>
      </c>
      <c r="AG14">
        <v>1</v>
      </c>
      <c r="AH14">
        <v>9</v>
      </c>
      <c r="AI14">
        <v>4</v>
      </c>
      <c r="AJ14">
        <v>8</v>
      </c>
      <c r="AK14">
        <v>10</v>
      </c>
      <c r="AL14">
        <v>3</v>
      </c>
      <c r="AM14">
        <v>7</v>
      </c>
      <c r="AN14">
        <v>5</v>
      </c>
      <c r="AO14">
        <v>6</v>
      </c>
      <c r="AS14" s="13" t="s">
        <v>5</v>
      </c>
      <c r="AT14" s="13" t="s">
        <v>52</v>
      </c>
      <c r="AU14" s="13" t="s">
        <v>89</v>
      </c>
    </row>
    <row r="15" spans="1:56" x14ac:dyDescent="0.2">
      <c r="A15" s="37">
        <v>14</v>
      </c>
      <c r="C15" s="17"/>
      <c r="D15" s="36">
        <v>3</v>
      </c>
      <c r="E15" s="22" t="s">
        <v>35</v>
      </c>
      <c r="F15" s="36"/>
      <c r="G15" s="36"/>
      <c r="H15" s="36"/>
      <c r="I15" s="22">
        <v>2</v>
      </c>
      <c r="J15" s="13">
        <v>0</v>
      </c>
      <c r="K15">
        <v>8</v>
      </c>
      <c r="L15">
        <v>10</v>
      </c>
      <c r="M15">
        <v>6</v>
      </c>
      <c r="N15">
        <v>9</v>
      </c>
      <c r="O15">
        <v>7</v>
      </c>
      <c r="P15">
        <v>3</v>
      </c>
      <c r="Q15">
        <v>5</v>
      </c>
      <c r="R15">
        <v>2</v>
      </c>
      <c r="S15">
        <v>1</v>
      </c>
      <c r="T15">
        <v>4</v>
      </c>
      <c r="U15" s="18"/>
      <c r="W15" s="19"/>
      <c r="X15" s="20"/>
      <c r="Y15" s="45"/>
      <c r="Z15" s="45"/>
      <c r="AA15" s="45"/>
      <c r="AB15" s="45"/>
      <c r="AC15" s="45"/>
      <c r="AD15" s="46"/>
      <c r="AF15">
        <v>8</v>
      </c>
      <c r="AG15">
        <v>10</v>
      </c>
      <c r="AH15">
        <v>6</v>
      </c>
      <c r="AI15">
        <v>9</v>
      </c>
      <c r="AJ15">
        <v>7</v>
      </c>
      <c r="AK15">
        <v>3</v>
      </c>
      <c r="AL15">
        <v>5</v>
      </c>
      <c r="AM15">
        <v>2</v>
      </c>
      <c r="AN15">
        <v>1</v>
      </c>
      <c r="AO15">
        <v>4</v>
      </c>
    </row>
    <row r="16" spans="1:56" x14ac:dyDescent="0.2">
      <c r="A16" s="37">
        <v>15</v>
      </c>
      <c r="C16" s="17"/>
      <c r="D16" s="36">
        <v>4</v>
      </c>
      <c r="E16" s="22" t="s">
        <v>36</v>
      </c>
      <c r="F16" s="36"/>
      <c r="G16" s="36"/>
      <c r="H16" s="36"/>
      <c r="I16" s="22">
        <v>3</v>
      </c>
      <c r="J16" s="13">
        <v>0</v>
      </c>
      <c r="K16">
        <v>6</v>
      </c>
      <c r="L16">
        <v>2</v>
      </c>
      <c r="M16">
        <v>3</v>
      </c>
      <c r="N16">
        <v>1</v>
      </c>
      <c r="O16">
        <v>5</v>
      </c>
      <c r="P16">
        <v>7</v>
      </c>
      <c r="Q16">
        <v>9</v>
      </c>
      <c r="R16">
        <v>8</v>
      </c>
      <c r="S16">
        <v>10</v>
      </c>
      <c r="T16">
        <v>4</v>
      </c>
      <c r="U16" s="18"/>
      <c r="AF16">
        <v>6</v>
      </c>
      <c r="AG16">
        <v>2</v>
      </c>
      <c r="AH16">
        <v>3</v>
      </c>
      <c r="AI16">
        <v>1</v>
      </c>
      <c r="AJ16">
        <v>5</v>
      </c>
      <c r="AK16">
        <v>7</v>
      </c>
      <c r="AL16">
        <v>9</v>
      </c>
      <c r="AM16">
        <v>8</v>
      </c>
      <c r="AN16">
        <v>10</v>
      </c>
      <c r="AO16">
        <v>4</v>
      </c>
    </row>
    <row r="17" spans="1:41" x14ac:dyDescent="0.2">
      <c r="A17" s="37">
        <v>16</v>
      </c>
      <c r="C17" s="17"/>
      <c r="D17" s="36">
        <v>5</v>
      </c>
      <c r="E17" s="22" t="s">
        <v>17</v>
      </c>
      <c r="F17" s="36"/>
      <c r="G17" s="36"/>
      <c r="H17" s="36"/>
      <c r="I17" s="22">
        <v>4</v>
      </c>
      <c r="J17" s="13">
        <v>0</v>
      </c>
      <c r="K17">
        <v>3</v>
      </c>
      <c r="L17">
        <v>9</v>
      </c>
      <c r="M17">
        <v>6</v>
      </c>
      <c r="N17">
        <v>4</v>
      </c>
      <c r="O17">
        <v>8</v>
      </c>
      <c r="P17">
        <v>2</v>
      </c>
      <c r="Q17">
        <v>5</v>
      </c>
      <c r="R17">
        <v>1</v>
      </c>
      <c r="S17">
        <v>7</v>
      </c>
      <c r="T17">
        <v>10</v>
      </c>
      <c r="U17" s="18"/>
      <c r="AF17">
        <v>3</v>
      </c>
      <c r="AG17">
        <v>9</v>
      </c>
      <c r="AH17">
        <v>6</v>
      </c>
      <c r="AI17">
        <v>4</v>
      </c>
      <c r="AJ17">
        <v>8</v>
      </c>
      <c r="AK17">
        <v>2</v>
      </c>
      <c r="AL17">
        <v>5</v>
      </c>
      <c r="AM17">
        <v>1</v>
      </c>
      <c r="AN17">
        <v>7</v>
      </c>
      <c r="AO17">
        <v>10</v>
      </c>
    </row>
    <row r="18" spans="1:41" x14ac:dyDescent="0.2">
      <c r="A18" s="37">
        <v>17</v>
      </c>
      <c r="C18" s="17"/>
      <c r="D18" s="36">
        <v>6</v>
      </c>
      <c r="E18" s="22" t="s">
        <v>37</v>
      </c>
      <c r="F18" s="36"/>
      <c r="G18" s="36"/>
      <c r="H18" s="36"/>
      <c r="I18" s="22">
        <v>5</v>
      </c>
      <c r="J18" s="13">
        <v>0</v>
      </c>
      <c r="K18">
        <v>7</v>
      </c>
      <c r="L18">
        <v>2</v>
      </c>
      <c r="M18">
        <v>5</v>
      </c>
      <c r="N18">
        <v>10</v>
      </c>
      <c r="O18">
        <v>1</v>
      </c>
      <c r="P18">
        <v>3</v>
      </c>
      <c r="Q18">
        <v>8</v>
      </c>
      <c r="R18">
        <v>6</v>
      </c>
      <c r="S18">
        <v>4</v>
      </c>
      <c r="T18">
        <v>9</v>
      </c>
      <c r="U18" s="18"/>
      <c r="AF18">
        <v>7</v>
      </c>
      <c r="AG18">
        <v>2</v>
      </c>
      <c r="AH18">
        <v>5</v>
      </c>
      <c r="AI18">
        <v>10</v>
      </c>
      <c r="AJ18">
        <v>1</v>
      </c>
      <c r="AK18">
        <v>3</v>
      </c>
      <c r="AL18">
        <v>8</v>
      </c>
      <c r="AM18">
        <v>6</v>
      </c>
      <c r="AN18">
        <v>4</v>
      </c>
      <c r="AO18">
        <v>9</v>
      </c>
    </row>
    <row r="19" spans="1:41" x14ac:dyDescent="0.2">
      <c r="A19" s="37">
        <v>18</v>
      </c>
      <c r="C19" s="17"/>
      <c r="D19" s="36">
        <v>7</v>
      </c>
      <c r="E19" s="22" t="s">
        <v>38</v>
      </c>
      <c r="F19" s="36"/>
      <c r="G19" s="36"/>
      <c r="H19" s="36"/>
      <c r="I19" s="22">
        <v>6</v>
      </c>
      <c r="J19" s="13">
        <v>0</v>
      </c>
      <c r="K19">
        <v>7</v>
      </c>
      <c r="L19">
        <v>10</v>
      </c>
      <c r="M19">
        <v>6</v>
      </c>
      <c r="N19">
        <v>5</v>
      </c>
      <c r="O19">
        <v>4</v>
      </c>
      <c r="P19">
        <v>9</v>
      </c>
      <c r="Q19">
        <v>8</v>
      </c>
      <c r="R19">
        <v>1</v>
      </c>
      <c r="S19">
        <v>2</v>
      </c>
      <c r="T19">
        <v>3</v>
      </c>
      <c r="U19" s="18"/>
      <c r="W19" s="13">
        <v>-0.12899458371724279</v>
      </c>
      <c r="X19" s="13">
        <v>-0.16811335665669649</v>
      </c>
      <c r="Y19" s="13">
        <v>-0.19137842607455557</v>
      </c>
      <c r="Z19" s="13">
        <v>-6.4063697059857733E-2</v>
      </c>
      <c r="AA19" s="13">
        <v>-1.480528271680992E-3</v>
      </c>
      <c r="AF19">
        <v>7</v>
      </c>
      <c r="AG19">
        <v>10</v>
      </c>
      <c r="AH19">
        <v>6</v>
      </c>
      <c r="AI19">
        <v>5</v>
      </c>
      <c r="AJ19">
        <v>4</v>
      </c>
      <c r="AK19">
        <v>9</v>
      </c>
      <c r="AL19">
        <v>8</v>
      </c>
      <c r="AM19">
        <v>1</v>
      </c>
      <c r="AN19">
        <v>2</v>
      </c>
      <c r="AO19">
        <v>3</v>
      </c>
    </row>
    <row r="20" spans="1:41" x14ac:dyDescent="0.2">
      <c r="A20" s="37">
        <v>19</v>
      </c>
      <c r="C20" s="17"/>
      <c r="D20" s="36">
        <v>8</v>
      </c>
      <c r="E20" s="22" t="s">
        <v>39</v>
      </c>
      <c r="F20" s="36"/>
      <c r="G20" s="36"/>
      <c r="H20" s="36"/>
      <c r="I20" s="22">
        <v>7</v>
      </c>
      <c r="J20" s="13">
        <v>0</v>
      </c>
      <c r="K20">
        <v>3</v>
      </c>
      <c r="L20">
        <v>1</v>
      </c>
      <c r="M20">
        <v>6</v>
      </c>
      <c r="N20">
        <v>4</v>
      </c>
      <c r="O20">
        <v>2</v>
      </c>
      <c r="P20">
        <v>9</v>
      </c>
      <c r="Q20">
        <v>8</v>
      </c>
      <c r="R20">
        <v>7</v>
      </c>
      <c r="S20">
        <v>5</v>
      </c>
      <c r="T20">
        <v>10</v>
      </c>
      <c r="U20" s="18"/>
      <c r="W20" s="13">
        <v>-0.10803271587161296</v>
      </c>
      <c r="X20" s="13">
        <v>-2.2306673010250046E-2</v>
      </c>
      <c r="Y20" s="13">
        <v>6.5280421140457276E-2</v>
      </c>
      <c r="Z20" s="13">
        <v>-0.11635797035521406</v>
      </c>
      <c r="AA20" s="13">
        <v>0.18744210923135524</v>
      </c>
      <c r="AF20">
        <v>3</v>
      </c>
      <c r="AG20">
        <v>1</v>
      </c>
      <c r="AH20">
        <v>6</v>
      </c>
      <c r="AI20">
        <v>4</v>
      </c>
      <c r="AJ20">
        <v>2</v>
      </c>
      <c r="AK20">
        <v>9</v>
      </c>
      <c r="AL20">
        <v>8</v>
      </c>
      <c r="AM20">
        <v>7</v>
      </c>
      <c r="AN20">
        <v>5</v>
      </c>
      <c r="AO20">
        <v>10</v>
      </c>
    </row>
    <row r="21" spans="1:41" x14ac:dyDescent="0.2">
      <c r="A21" s="37">
        <v>20</v>
      </c>
      <c r="C21" s="17"/>
      <c r="D21" s="36">
        <v>9</v>
      </c>
      <c r="E21" s="22" t="s">
        <v>40</v>
      </c>
      <c r="F21" s="36"/>
      <c r="G21" s="36"/>
      <c r="H21" s="36"/>
      <c r="I21" s="22">
        <v>8</v>
      </c>
      <c r="J21" s="13">
        <v>0</v>
      </c>
      <c r="K21">
        <v>8</v>
      </c>
      <c r="L21">
        <v>2</v>
      </c>
      <c r="M21">
        <v>7</v>
      </c>
      <c r="N21">
        <v>6</v>
      </c>
      <c r="O21">
        <v>5</v>
      </c>
      <c r="P21">
        <v>9</v>
      </c>
      <c r="Q21">
        <v>4</v>
      </c>
      <c r="R21">
        <v>3</v>
      </c>
      <c r="S21">
        <v>10</v>
      </c>
      <c r="T21">
        <v>1</v>
      </c>
      <c r="U21" s="18"/>
      <c r="W21" s="13">
        <v>0.19314047563463266</v>
      </c>
      <c r="X21" s="13">
        <v>9.5204042567332975E-2</v>
      </c>
      <c r="Y21" s="13">
        <v>6.0745473671621752E-2</v>
      </c>
      <c r="Z21" s="13">
        <v>-0.18401974884952355</v>
      </c>
      <c r="AA21" s="13">
        <v>-4.6634149125561478E-2</v>
      </c>
      <c r="AF21">
        <v>8</v>
      </c>
      <c r="AG21">
        <v>2</v>
      </c>
      <c r="AH21">
        <v>7</v>
      </c>
      <c r="AI21">
        <v>6</v>
      </c>
      <c r="AJ21">
        <v>5</v>
      </c>
      <c r="AK21">
        <v>9</v>
      </c>
      <c r="AL21">
        <v>4</v>
      </c>
      <c r="AM21">
        <v>3</v>
      </c>
      <c r="AN21">
        <v>10</v>
      </c>
      <c r="AO21">
        <v>1</v>
      </c>
    </row>
    <row r="22" spans="1:41" x14ac:dyDescent="0.2">
      <c r="A22" s="37">
        <v>21</v>
      </c>
      <c r="C22" s="17"/>
      <c r="D22" s="36">
        <v>10</v>
      </c>
      <c r="E22" s="22" t="s">
        <v>41</v>
      </c>
      <c r="F22" s="36"/>
      <c r="G22" s="36"/>
      <c r="H22" s="36"/>
      <c r="I22" s="22">
        <v>9</v>
      </c>
      <c r="J22" s="13">
        <v>0</v>
      </c>
      <c r="K22">
        <v>10</v>
      </c>
      <c r="L22">
        <v>5</v>
      </c>
      <c r="M22">
        <v>7</v>
      </c>
      <c r="N22">
        <v>2</v>
      </c>
      <c r="O22">
        <v>3</v>
      </c>
      <c r="P22">
        <v>6</v>
      </c>
      <c r="Q22">
        <v>9</v>
      </c>
      <c r="R22">
        <v>8</v>
      </c>
      <c r="S22">
        <v>4</v>
      </c>
      <c r="T22">
        <v>1</v>
      </c>
      <c r="U22" s="18"/>
      <c r="W22" s="13">
        <v>2.5821503036622586E-2</v>
      </c>
      <c r="X22" s="13">
        <v>0.17985732784808406</v>
      </c>
      <c r="Y22" s="13">
        <v>8.7700023997550509E-3</v>
      </c>
      <c r="Z22" s="13">
        <v>-0.1285183799844086</v>
      </c>
      <c r="AA22" s="13">
        <v>-6.2764240606203545E-2</v>
      </c>
      <c r="AF22">
        <v>10</v>
      </c>
      <c r="AG22">
        <v>5</v>
      </c>
      <c r="AH22">
        <v>7</v>
      </c>
      <c r="AI22">
        <v>2</v>
      </c>
      <c r="AJ22">
        <v>3</v>
      </c>
      <c r="AK22">
        <v>6</v>
      </c>
      <c r="AL22">
        <v>9</v>
      </c>
      <c r="AM22">
        <v>8</v>
      </c>
      <c r="AN22">
        <v>4</v>
      </c>
      <c r="AO22">
        <v>1</v>
      </c>
    </row>
    <row r="23" spans="1:41" x14ac:dyDescent="0.2">
      <c r="A23" s="37">
        <v>22</v>
      </c>
      <c r="C23" s="19"/>
      <c r="D23" s="20"/>
      <c r="E23" s="20"/>
      <c r="F23" s="20"/>
      <c r="G23" s="20"/>
      <c r="H23" s="20"/>
      <c r="I23" s="19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1"/>
      <c r="W23" s="13">
        <v>6.23467937462098E-2</v>
      </c>
      <c r="X23" s="13">
        <v>-7.6629210231874467E-2</v>
      </c>
      <c r="Y23" s="13">
        <v>3.7154569758850987E-2</v>
      </c>
      <c r="Z23" s="13">
        <v>5.8561575706563396E-2</v>
      </c>
      <c r="AA23" s="13">
        <v>0.17641057727424078</v>
      </c>
    </row>
    <row r="24" spans="1:41" x14ac:dyDescent="0.2">
      <c r="A24" s="37">
        <v>23</v>
      </c>
    </row>
    <row r="25" spans="1:41" x14ac:dyDescent="0.2">
      <c r="A25" s="37">
        <v>24</v>
      </c>
      <c r="C25" s="23" t="s">
        <v>0</v>
      </c>
      <c r="U25" s="23" t="s">
        <v>42</v>
      </c>
      <c r="X25" s="23"/>
      <c r="Y25" s="13"/>
      <c r="Z25" s="13"/>
      <c r="AA25" s="13"/>
      <c r="AB25" s="13"/>
      <c r="AC25" s="13"/>
    </row>
    <row r="26" spans="1:41" x14ac:dyDescent="0.2">
      <c r="A26" s="37">
        <v>25</v>
      </c>
      <c r="C26" s="33" t="s">
        <v>20</v>
      </c>
      <c r="D26" s="16"/>
      <c r="E26" s="33" t="s">
        <v>43</v>
      </c>
      <c r="F26" s="16"/>
      <c r="U26" s="33" t="s">
        <v>20</v>
      </c>
      <c r="V26" s="15"/>
      <c r="W26" s="16"/>
      <c r="X26" s="33"/>
      <c r="Y26" s="15"/>
      <c r="Z26" s="16"/>
      <c r="AA26" s="33"/>
      <c r="AB26" s="15"/>
      <c r="AC26" s="16"/>
    </row>
    <row r="27" spans="1:41" x14ac:dyDescent="0.2">
      <c r="A27" s="37">
        <v>26</v>
      </c>
      <c r="C27" s="17" t="s">
        <v>5</v>
      </c>
      <c r="D27" s="18"/>
      <c r="E27" s="17"/>
      <c r="F27" s="18"/>
      <c r="U27" s="17"/>
      <c r="W27" s="18"/>
      <c r="X27" s="17" t="s">
        <v>98</v>
      </c>
      <c r="Y27" s="13"/>
      <c r="Z27" s="18"/>
      <c r="AA27" s="17"/>
      <c r="AB27" s="13"/>
      <c r="AC27" s="18"/>
    </row>
    <row r="28" spans="1:41" x14ac:dyDescent="0.2">
      <c r="A28" s="37">
        <v>27</v>
      </c>
      <c r="C28" s="17" t="s">
        <v>44</v>
      </c>
      <c r="D28" s="18"/>
      <c r="E28" s="17" t="s">
        <v>45</v>
      </c>
      <c r="F28" s="18"/>
      <c r="U28" s="17" t="s">
        <v>94</v>
      </c>
      <c r="W28" s="18"/>
      <c r="X28" s="17" t="s">
        <v>99</v>
      </c>
      <c r="Z28" s="43"/>
      <c r="AA28" s="42"/>
      <c r="AC28" s="43"/>
    </row>
    <row r="29" spans="1:41" x14ac:dyDescent="0.2">
      <c r="A29" s="37">
        <v>28</v>
      </c>
      <c r="C29" s="19"/>
      <c r="D29" s="21"/>
      <c r="E29" s="19"/>
      <c r="F29" s="21"/>
      <c r="U29" s="13" t="s">
        <v>108</v>
      </c>
      <c r="W29" s="18"/>
      <c r="X29" s="17" t="s">
        <v>100</v>
      </c>
      <c r="Y29" s="13"/>
      <c r="Z29" s="18"/>
      <c r="AA29" s="17"/>
      <c r="AB29" s="13"/>
      <c r="AC29" s="18"/>
    </row>
    <row r="30" spans="1:41" x14ac:dyDescent="0.2">
      <c r="A30" s="37">
        <v>29</v>
      </c>
      <c r="U30" s="13" t="s">
        <v>26</v>
      </c>
      <c r="W30" s="18"/>
      <c r="X30" s="17" t="s">
        <v>101</v>
      </c>
      <c r="Y30" s="13"/>
      <c r="Z30" s="18"/>
      <c r="AA30" s="17"/>
      <c r="AB30" s="13"/>
      <c r="AC30" s="18"/>
    </row>
    <row r="31" spans="1:41" x14ac:dyDescent="0.2">
      <c r="A31" s="37">
        <v>30</v>
      </c>
      <c r="W31" s="18"/>
      <c r="X31" s="17" t="s">
        <v>102</v>
      </c>
      <c r="Y31" s="13"/>
      <c r="Z31" s="18"/>
      <c r="AA31" s="17"/>
      <c r="AB31" s="13"/>
      <c r="AC31" s="18"/>
    </row>
    <row r="32" spans="1:41" x14ac:dyDescent="0.2">
      <c r="A32" s="37">
        <v>31</v>
      </c>
      <c r="C32" s="23" t="s">
        <v>1</v>
      </c>
      <c r="U32" s="17" t="s">
        <v>3</v>
      </c>
      <c r="W32" s="18"/>
      <c r="X32" s="17" t="s">
        <v>103</v>
      </c>
      <c r="Y32" s="13"/>
      <c r="Z32" s="18"/>
      <c r="AA32" s="17"/>
      <c r="AB32" s="13"/>
      <c r="AC32" s="18"/>
    </row>
    <row r="33" spans="1:29" x14ac:dyDescent="0.2">
      <c r="A33" s="37">
        <v>32</v>
      </c>
      <c r="C33" s="33" t="s">
        <v>20</v>
      </c>
      <c r="D33" s="15"/>
      <c r="E33" s="33" t="s">
        <v>43</v>
      </c>
      <c r="F33" s="16"/>
      <c r="U33" s="17" t="s">
        <v>6</v>
      </c>
      <c r="W33" s="18"/>
      <c r="X33" s="17"/>
      <c r="Y33" s="13"/>
      <c r="Z33" s="18"/>
      <c r="AA33" s="17"/>
      <c r="AB33" s="13"/>
      <c r="AC33" s="18"/>
    </row>
    <row r="34" spans="1:29" x14ac:dyDescent="0.2">
      <c r="A34" s="37">
        <v>33</v>
      </c>
      <c r="C34" s="17" t="s">
        <v>7</v>
      </c>
      <c r="E34" s="17"/>
      <c r="F34" s="18"/>
      <c r="U34" s="17" t="s">
        <v>47</v>
      </c>
      <c r="W34" s="18"/>
      <c r="X34" s="17"/>
      <c r="Y34" s="13"/>
      <c r="Z34" s="18"/>
      <c r="AA34" s="17"/>
      <c r="AB34" s="13"/>
      <c r="AC34" s="18"/>
    </row>
    <row r="35" spans="1:29" x14ac:dyDescent="0.2">
      <c r="A35" s="37">
        <v>34</v>
      </c>
      <c r="C35" s="17" t="s">
        <v>51</v>
      </c>
      <c r="E35" s="17"/>
      <c r="F35" s="18"/>
      <c r="U35" s="17" t="s">
        <v>48</v>
      </c>
      <c r="W35" s="18"/>
      <c r="X35" s="17"/>
      <c r="Y35" s="13"/>
      <c r="Z35" s="18"/>
      <c r="AA35" s="17"/>
      <c r="AB35" s="13"/>
      <c r="AC35" s="18"/>
    </row>
    <row r="36" spans="1:29" x14ac:dyDescent="0.2">
      <c r="A36" s="37">
        <v>35</v>
      </c>
      <c r="C36" s="17" t="s">
        <v>53</v>
      </c>
      <c r="E36" s="17" t="s">
        <v>45</v>
      </c>
      <c r="F36" s="18"/>
      <c r="U36" s="17" t="s">
        <v>49</v>
      </c>
      <c r="W36" s="18"/>
      <c r="X36" s="17"/>
      <c r="Y36" s="13"/>
      <c r="Z36" s="18"/>
      <c r="AA36" s="17"/>
      <c r="AB36" s="13"/>
      <c r="AC36" s="18"/>
    </row>
    <row r="37" spans="1:29" x14ac:dyDescent="0.2">
      <c r="A37" s="37">
        <v>36</v>
      </c>
      <c r="C37" s="17" t="s">
        <v>55</v>
      </c>
      <c r="E37" s="17" t="s">
        <v>56</v>
      </c>
      <c r="F37" s="18"/>
      <c r="U37" s="17" t="s">
        <v>50</v>
      </c>
      <c r="W37" s="18"/>
      <c r="X37" s="17"/>
      <c r="Y37" s="13"/>
      <c r="Z37" s="18"/>
      <c r="AA37" s="17"/>
      <c r="AB37" s="13"/>
      <c r="AC37" s="18"/>
    </row>
    <row r="38" spans="1:29" x14ac:dyDescent="0.2">
      <c r="A38" s="37">
        <v>37</v>
      </c>
      <c r="C38" s="19"/>
      <c r="D38" s="20"/>
      <c r="E38" s="19" t="s">
        <v>57</v>
      </c>
      <c r="F38" s="21"/>
      <c r="U38" s="17" t="s">
        <v>52</v>
      </c>
      <c r="W38" s="18"/>
      <c r="X38" s="17"/>
      <c r="Y38" s="13"/>
      <c r="Z38" s="18"/>
      <c r="AA38" s="17"/>
      <c r="AB38" s="13"/>
      <c r="AC38" s="18"/>
    </row>
    <row r="39" spans="1:29" x14ac:dyDescent="0.2">
      <c r="A39" s="37">
        <v>38</v>
      </c>
      <c r="U39" s="17" t="s">
        <v>54</v>
      </c>
      <c r="W39" s="18"/>
      <c r="X39" s="17"/>
      <c r="Z39" s="43"/>
      <c r="AA39" s="42"/>
      <c r="AC39" s="43"/>
    </row>
    <row r="40" spans="1:29" x14ac:dyDescent="0.2">
      <c r="A40" s="37">
        <v>39</v>
      </c>
      <c r="M40" s="60" t="s">
        <v>58</v>
      </c>
      <c r="N40" s="60" t="s">
        <v>59</v>
      </c>
      <c r="O40" s="60" t="s">
        <v>60</v>
      </c>
      <c r="P40" s="60" t="s">
        <v>61</v>
      </c>
      <c r="Q40" s="60" t="s">
        <v>62</v>
      </c>
      <c r="R40" s="60" t="s">
        <v>59</v>
      </c>
      <c r="U40" s="17" t="s">
        <v>46</v>
      </c>
      <c r="V40" s="20"/>
      <c r="W40" s="21"/>
      <c r="X40" s="19"/>
      <c r="Y40" s="20"/>
      <c r="Z40" s="21"/>
      <c r="AA40" s="19"/>
      <c r="AB40" s="20"/>
      <c r="AC40" s="21"/>
    </row>
    <row r="41" spans="1:29" x14ac:dyDescent="0.2">
      <c r="A41" s="37">
        <v>40</v>
      </c>
      <c r="M41" s="61" t="s">
        <v>0</v>
      </c>
      <c r="N41" s="61" t="s">
        <v>63</v>
      </c>
      <c r="O41" s="60" t="s">
        <v>60</v>
      </c>
      <c r="P41" s="62" t="s">
        <v>64</v>
      </c>
      <c r="Q41" s="60" t="s">
        <v>62</v>
      </c>
      <c r="R41" s="60" t="s">
        <v>65</v>
      </c>
    </row>
    <row r="42" spans="1:29" x14ac:dyDescent="0.2">
      <c r="A42" s="37">
        <v>41</v>
      </c>
      <c r="M42" s="61" t="s">
        <v>66</v>
      </c>
      <c r="N42" s="61" t="s">
        <v>67</v>
      </c>
      <c r="O42" s="60" t="s">
        <v>62</v>
      </c>
      <c r="P42" s="62"/>
      <c r="Q42" s="60"/>
      <c r="R42" s="60" t="s">
        <v>65</v>
      </c>
    </row>
    <row r="43" spans="1:29" x14ac:dyDescent="0.2">
      <c r="A43" s="37">
        <v>42</v>
      </c>
      <c r="M43" s="61" t="s">
        <v>52</v>
      </c>
      <c r="N43" s="61" t="s">
        <v>68</v>
      </c>
      <c r="O43" s="60"/>
      <c r="P43" s="62"/>
      <c r="Q43" s="60"/>
      <c r="R43" s="60" t="s">
        <v>65</v>
      </c>
    </row>
    <row r="44" spans="1:29" x14ac:dyDescent="0.2">
      <c r="A44" s="37">
        <v>43</v>
      </c>
      <c r="M44" s="61" t="s">
        <v>3</v>
      </c>
      <c r="N44" s="61" t="s">
        <v>69</v>
      </c>
      <c r="O44" s="60" t="s">
        <v>62</v>
      </c>
      <c r="P44" s="62" t="s">
        <v>64</v>
      </c>
      <c r="Q44" s="60" t="s">
        <v>62</v>
      </c>
      <c r="R44" s="60" t="s">
        <v>65</v>
      </c>
    </row>
    <row r="45" spans="1:29" x14ac:dyDescent="0.2">
      <c r="A45" s="37">
        <v>44</v>
      </c>
      <c r="M45" s="61" t="s">
        <v>6</v>
      </c>
      <c r="N45" s="61" t="s">
        <v>70</v>
      </c>
      <c r="O45" s="60" t="s">
        <v>60</v>
      </c>
      <c r="P45" s="62"/>
      <c r="Q45" s="60"/>
      <c r="R45" s="60" t="s">
        <v>65</v>
      </c>
    </row>
    <row r="46" spans="1:29" x14ac:dyDescent="0.2">
      <c r="A46" s="37">
        <v>45</v>
      </c>
      <c r="M46" s="61" t="s">
        <v>50</v>
      </c>
      <c r="N46" s="61" t="s">
        <v>71</v>
      </c>
      <c r="O46" s="60" t="s">
        <v>60</v>
      </c>
      <c r="P46" s="60"/>
      <c r="Q46" s="60"/>
      <c r="R46" s="60" t="s">
        <v>65</v>
      </c>
    </row>
    <row r="47" spans="1:29" x14ac:dyDescent="0.2">
      <c r="A47" s="37">
        <v>46</v>
      </c>
      <c r="M47" s="61" t="s">
        <v>72</v>
      </c>
      <c r="N47" s="61" t="s">
        <v>73</v>
      </c>
      <c r="O47" s="60"/>
      <c r="P47" s="62"/>
      <c r="Q47" s="60"/>
      <c r="R47" s="60" t="s">
        <v>65</v>
      </c>
    </row>
    <row r="48" spans="1:29" x14ac:dyDescent="0.2">
      <c r="A48" s="37">
        <v>47</v>
      </c>
      <c r="M48" s="61" t="s">
        <v>74</v>
      </c>
      <c r="N48" s="61" t="s">
        <v>75</v>
      </c>
      <c r="O48" s="60" t="s">
        <v>60</v>
      </c>
      <c r="P48" s="60"/>
      <c r="Q48" s="60"/>
      <c r="R48" s="60" t="s">
        <v>65</v>
      </c>
    </row>
    <row r="49" spans="1:22" x14ac:dyDescent="0.2">
      <c r="A49" s="37">
        <v>48</v>
      </c>
      <c r="M49" s="61" t="s">
        <v>76</v>
      </c>
      <c r="N49" s="61" t="s">
        <v>77</v>
      </c>
      <c r="O49" s="60" t="s">
        <v>60</v>
      </c>
      <c r="P49" s="60"/>
      <c r="Q49" s="60"/>
      <c r="R49" s="60" t="s">
        <v>65</v>
      </c>
    </row>
    <row r="50" spans="1:22" x14ac:dyDescent="0.2">
      <c r="A50" s="37">
        <v>49</v>
      </c>
      <c r="M50" s="61" t="s">
        <v>55</v>
      </c>
      <c r="N50" s="61" t="s">
        <v>78</v>
      </c>
      <c r="O50" s="60" t="s">
        <v>60</v>
      </c>
      <c r="P50" s="60" t="s">
        <v>64</v>
      </c>
      <c r="Q50" s="60" t="s">
        <v>62</v>
      </c>
      <c r="R50" s="60" t="s">
        <v>65</v>
      </c>
    </row>
    <row r="51" spans="1:22" x14ac:dyDescent="0.2">
      <c r="A51" s="37">
        <v>50</v>
      </c>
    </row>
    <row r="52" spans="1:22" x14ac:dyDescent="0.2">
      <c r="A52" s="37">
        <v>51</v>
      </c>
      <c r="B52" s="13">
        <v>1</v>
      </c>
      <c r="C52" s="13">
        <v>2</v>
      </c>
      <c r="D52" s="13">
        <v>3</v>
      </c>
      <c r="E52" s="13">
        <v>4</v>
      </c>
      <c r="F52" s="13">
        <v>5</v>
      </c>
      <c r="G52" s="13">
        <v>6</v>
      </c>
      <c r="H52" s="13">
        <v>7</v>
      </c>
    </row>
    <row r="53" spans="1:22" x14ac:dyDescent="0.2">
      <c r="A53" s="37">
        <v>52</v>
      </c>
      <c r="B53" s="78" t="s">
        <v>2</v>
      </c>
      <c r="C53" s="78" t="s">
        <v>3</v>
      </c>
      <c r="D53" s="78" t="s">
        <v>4</v>
      </c>
      <c r="E53" s="79" t="s">
        <v>79</v>
      </c>
      <c r="F53" s="79" t="s">
        <v>3</v>
      </c>
      <c r="G53" s="79" t="s">
        <v>80</v>
      </c>
      <c r="H53" s="78" t="s">
        <v>81</v>
      </c>
      <c r="I53" s="78" t="s">
        <v>3</v>
      </c>
      <c r="J53" s="78" t="s">
        <v>80</v>
      </c>
      <c r="K53" s="79" t="s">
        <v>82</v>
      </c>
      <c r="L53" s="79" t="s">
        <v>3</v>
      </c>
      <c r="M53" s="79" t="s">
        <v>4</v>
      </c>
      <c r="N53" s="77" t="s">
        <v>93</v>
      </c>
      <c r="O53" s="77" t="s">
        <v>46</v>
      </c>
      <c r="P53" s="77" t="s">
        <v>5</v>
      </c>
      <c r="Q53" s="79" t="s">
        <v>83</v>
      </c>
      <c r="R53" s="79" t="s">
        <v>46</v>
      </c>
      <c r="S53" s="79" t="s">
        <v>5</v>
      </c>
      <c r="T53" s="78" t="s">
        <v>84</v>
      </c>
      <c r="U53" s="78" t="s">
        <v>46</v>
      </c>
      <c r="V53" s="78" t="s">
        <v>5</v>
      </c>
    </row>
    <row r="54" spans="1:22" x14ac:dyDescent="0.2">
      <c r="A54" s="37">
        <v>53</v>
      </c>
      <c r="B54" s="78" t="s">
        <v>5</v>
      </c>
      <c r="C54" s="78" t="s">
        <v>6</v>
      </c>
      <c r="D54" s="78" t="s">
        <v>7</v>
      </c>
      <c r="E54" s="79" t="s">
        <v>5</v>
      </c>
      <c r="F54" s="79" t="s">
        <v>6</v>
      </c>
      <c r="G54" s="79" t="s">
        <v>5</v>
      </c>
      <c r="H54" s="78" t="s">
        <v>5</v>
      </c>
      <c r="I54" s="78" t="s">
        <v>6</v>
      </c>
      <c r="J54" s="78" t="s">
        <v>5</v>
      </c>
      <c r="K54" s="79" t="s">
        <v>5</v>
      </c>
      <c r="L54" s="79" t="s">
        <v>47</v>
      </c>
      <c r="M54" s="79" t="s">
        <v>5</v>
      </c>
      <c r="N54" s="77" t="s">
        <v>5</v>
      </c>
      <c r="O54" s="77" t="s">
        <v>3</v>
      </c>
      <c r="P54" s="77" t="s">
        <v>85</v>
      </c>
      <c r="Q54" s="79" t="s">
        <v>5</v>
      </c>
      <c r="R54" s="79" t="s">
        <v>3</v>
      </c>
      <c r="S54" s="79" t="s">
        <v>85</v>
      </c>
      <c r="T54" s="78" t="s">
        <v>5</v>
      </c>
      <c r="U54" s="78" t="s">
        <v>3</v>
      </c>
      <c r="V54" s="78" t="s">
        <v>85</v>
      </c>
    </row>
    <row r="55" spans="1:22" x14ac:dyDescent="0.2">
      <c r="A55" s="37">
        <v>54</v>
      </c>
      <c r="B55" s="78"/>
      <c r="C55" s="78"/>
      <c r="D55" s="78"/>
      <c r="E55" s="79" t="s">
        <v>5</v>
      </c>
      <c r="F55" s="79" t="s">
        <v>3</v>
      </c>
      <c r="G55" s="79" t="s">
        <v>4</v>
      </c>
      <c r="H55" s="78" t="s">
        <v>5</v>
      </c>
      <c r="I55" s="78" t="s">
        <v>3</v>
      </c>
      <c r="J55" s="78" t="s">
        <v>4</v>
      </c>
      <c r="K55" s="79" t="s">
        <v>5</v>
      </c>
      <c r="L55" s="79" t="s">
        <v>3</v>
      </c>
      <c r="M55" s="79" t="s">
        <v>86</v>
      </c>
      <c r="N55" s="77" t="s">
        <v>5</v>
      </c>
      <c r="O55" s="77" t="s">
        <v>6</v>
      </c>
      <c r="P55" s="77" t="s">
        <v>5</v>
      </c>
      <c r="Q55" s="79" t="s">
        <v>5</v>
      </c>
      <c r="R55" s="79" t="s">
        <v>6</v>
      </c>
      <c r="S55" s="79" t="s">
        <v>5</v>
      </c>
      <c r="T55" s="78" t="s">
        <v>5</v>
      </c>
      <c r="U55" s="78" t="s">
        <v>47</v>
      </c>
      <c r="V55" s="78" t="s">
        <v>5</v>
      </c>
    </row>
    <row r="56" spans="1:22" x14ac:dyDescent="0.2">
      <c r="A56" s="37">
        <v>55</v>
      </c>
      <c r="B56" s="78"/>
      <c r="C56" s="78"/>
      <c r="D56" s="78"/>
      <c r="E56" s="79" t="s">
        <v>5</v>
      </c>
      <c r="F56" s="79" t="s">
        <v>6</v>
      </c>
      <c r="G56" s="79" t="s">
        <v>5</v>
      </c>
      <c r="H56" s="78" t="s">
        <v>5</v>
      </c>
      <c r="I56" s="78" t="s">
        <v>47</v>
      </c>
      <c r="J56" s="78" t="s">
        <v>5</v>
      </c>
      <c r="K56" s="79" t="s">
        <v>5</v>
      </c>
      <c r="L56" s="79" t="s">
        <v>50</v>
      </c>
      <c r="M56" s="79" t="s">
        <v>5</v>
      </c>
      <c r="N56" s="77" t="s">
        <v>5</v>
      </c>
      <c r="O56" s="77" t="s">
        <v>50</v>
      </c>
      <c r="P56" s="77" t="s">
        <v>5</v>
      </c>
      <c r="Q56" s="79" t="s">
        <v>5</v>
      </c>
      <c r="R56" s="79" t="s">
        <v>50</v>
      </c>
      <c r="S56" s="79" t="s">
        <v>5</v>
      </c>
      <c r="T56" s="78" t="s">
        <v>5</v>
      </c>
      <c r="U56" s="78" t="s">
        <v>3</v>
      </c>
      <c r="V56" s="78" t="s">
        <v>86</v>
      </c>
    </row>
    <row r="57" spans="1:22" x14ac:dyDescent="0.2">
      <c r="A57" s="37">
        <v>56</v>
      </c>
      <c r="B57" s="78"/>
      <c r="C57" s="78"/>
      <c r="D57" s="78"/>
      <c r="E57" s="79" t="s">
        <v>5</v>
      </c>
      <c r="F57" s="79" t="s">
        <v>3</v>
      </c>
      <c r="G57" s="79" t="s">
        <v>86</v>
      </c>
      <c r="H57" s="78" t="s">
        <v>5</v>
      </c>
      <c r="I57" s="78" t="s">
        <v>3</v>
      </c>
      <c r="J57" s="78" t="s">
        <v>87</v>
      </c>
      <c r="K57" s="79" t="s">
        <v>5</v>
      </c>
      <c r="L57" s="79" t="s">
        <v>6</v>
      </c>
      <c r="M57" s="79" t="s">
        <v>5</v>
      </c>
      <c r="N57" s="77" t="s">
        <v>5</v>
      </c>
      <c r="O57" s="77" t="s">
        <v>3</v>
      </c>
      <c r="P57" s="77" t="s">
        <v>80</v>
      </c>
      <c r="Q57" s="79" t="s">
        <v>5</v>
      </c>
      <c r="R57" s="79" t="s">
        <v>3</v>
      </c>
      <c r="S57" s="79" t="s">
        <v>88</v>
      </c>
      <c r="T57" s="78" t="s">
        <v>5</v>
      </c>
      <c r="U57" s="78" t="s">
        <v>50</v>
      </c>
      <c r="V57" s="78" t="s">
        <v>5</v>
      </c>
    </row>
    <row r="58" spans="1:22" x14ac:dyDescent="0.2">
      <c r="A58" s="37">
        <v>57</v>
      </c>
      <c r="B58" s="78"/>
      <c r="C58" s="78"/>
      <c r="D58" s="78"/>
      <c r="E58" s="79" t="s">
        <v>5</v>
      </c>
      <c r="F58" s="79" t="s">
        <v>49</v>
      </c>
      <c r="G58" s="79" t="s">
        <v>7</v>
      </c>
      <c r="H58" s="78" t="s">
        <v>5</v>
      </c>
      <c r="I58" s="78" t="s">
        <v>49</v>
      </c>
      <c r="J58" s="78" t="s">
        <v>7</v>
      </c>
      <c r="K58" s="79" t="s">
        <v>5</v>
      </c>
      <c r="L58" s="79" t="s">
        <v>3</v>
      </c>
      <c r="M58" s="79" t="s">
        <v>87</v>
      </c>
      <c r="N58" s="77" t="s">
        <v>5</v>
      </c>
      <c r="O58" s="77" t="s">
        <v>49</v>
      </c>
      <c r="P58" s="77" t="s">
        <v>7</v>
      </c>
      <c r="Q58" s="79" t="s">
        <v>5</v>
      </c>
      <c r="R58" s="79" t="s">
        <v>49</v>
      </c>
      <c r="S58" s="79" t="s">
        <v>7</v>
      </c>
      <c r="T58" s="78" t="s">
        <v>5</v>
      </c>
      <c r="U58" s="78" t="s">
        <v>6</v>
      </c>
      <c r="V58" s="78" t="s">
        <v>5</v>
      </c>
    </row>
    <row r="59" spans="1:22" x14ac:dyDescent="0.2">
      <c r="A59" s="37">
        <v>58</v>
      </c>
      <c r="B59" s="78"/>
      <c r="C59" s="78"/>
      <c r="D59" s="78"/>
      <c r="E59" s="79"/>
      <c r="F59" s="79"/>
      <c r="G59" s="79"/>
      <c r="H59" s="78" t="s">
        <v>7</v>
      </c>
      <c r="I59" s="78" t="s">
        <v>52</v>
      </c>
      <c r="J59" s="78" t="s">
        <v>89</v>
      </c>
      <c r="K59" s="79" t="s">
        <v>5</v>
      </c>
      <c r="L59" s="79" t="s">
        <v>48</v>
      </c>
      <c r="M59" s="79" t="s">
        <v>5</v>
      </c>
      <c r="N59" s="60"/>
      <c r="O59" s="60"/>
      <c r="P59" s="60"/>
      <c r="Q59" s="79" t="s">
        <v>7</v>
      </c>
      <c r="R59" s="79" t="s">
        <v>54</v>
      </c>
      <c r="S59" s="79" t="s">
        <v>89</v>
      </c>
      <c r="T59" s="78" t="s">
        <v>5</v>
      </c>
      <c r="U59" s="78" t="s">
        <v>3</v>
      </c>
      <c r="V59" s="78" t="s">
        <v>87</v>
      </c>
    </row>
    <row r="60" spans="1:22" x14ac:dyDescent="0.2">
      <c r="A60" s="37">
        <v>59</v>
      </c>
      <c r="B60" s="78"/>
      <c r="C60" s="78"/>
      <c r="D60" s="78"/>
      <c r="E60" s="79"/>
      <c r="F60" s="79"/>
      <c r="G60" s="79"/>
      <c r="H60" s="78"/>
      <c r="I60" s="78"/>
      <c r="J60" s="78"/>
      <c r="K60" s="79" t="s">
        <v>5</v>
      </c>
      <c r="L60" s="79" t="s">
        <v>3</v>
      </c>
      <c r="M60" s="79" t="s">
        <v>90</v>
      </c>
      <c r="N60" s="60"/>
      <c r="O60" s="60"/>
      <c r="P60" s="60"/>
      <c r="Q60" s="60"/>
      <c r="R60" s="60"/>
      <c r="S60" s="60"/>
      <c r="T60" s="78" t="s">
        <v>5</v>
      </c>
      <c r="U60" s="78" t="s">
        <v>48</v>
      </c>
      <c r="V60" s="78" t="s">
        <v>5</v>
      </c>
    </row>
    <row r="61" spans="1:22" x14ac:dyDescent="0.2">
      <c r="A61" s="37">
        <v>60</v>
      </c>
      <c r="B61" s="78"/>
      <c r="C61" s="78"/>
      <c r="D61" s="78"/>
      <c r="E61" s="79"/>
      <c r="F61" s="79"/>
      <c r="G61" s="79"/>
      <c r="H61" s="78"/>
      <c r="I61" s="78"/>
      <c r="J61" s="78"/>
      <c r="K61" s="79" t="s">
        <v>5</v>
      </c>
      <c r="L61" s="79" t="s">
        <v>49</v>
      </c>
      <c r="M61" s="79" t="s">
        <v>7</v>
      </c>
      <c r="N61" s="60"/>
      <c r="O61" s="60"/>
      <c r="P61" s="60"/>
      <c r="Q61" s="60"/>
      <c r="R61" s="60"/>
      <c r="S61" s="60"/>
      <c r="T61" s="78" t="s">
        <v>5</v>
      </c>
      <c r="U61" s="78" t="s">
        <v>3</v>
      </c>
      <c r="V61" s="78" t="s">
        <v>88</v>
      </c>
    </row>
    <row r="62" spans="1:22" x14ac:dyDescent="0.2">
      <c r="A62" s="37">
        <v>61</v>
      </c>
      <c r="B62" s="78"/>
      <c r="C62" s="78"/>
      <c r="D62" s="78"/>
      <c r="E62" s="79"/>
      <c r="F62" s="79"/>
      <c r="G62" s="79"/>
      <c r="H62" s="78"/>
      <c r="I62" s="78"/>
      <c r="J62" s="78"/>
      <c r="K62" s="79" t="s">
        <v>7</v>
      </c>
      <c r="L62" s="79" t="s">
        <v>54</v>
      </c>
      <c r="M62" s="79" t="s">
        <v>89</v>
      </c>
      <c r="N62" s="60"/>
      <c r="O62" s="60"/>
      <c r="P62" s="60"/>
      <c r="Q62" s="60"/>
      <c r="R62" s="60"/>
      <c r="S62" s="60"/>
      <c r="T62" s="78" t="s">
        <v>5</v>
      </c>
      <c r="U62" s="78" t="s">
        <v>49</v>
      </c>
      <c r="V62" s="78" t="s">
        <v>7</v>
      </c>
    </row>
    <row r="63" spans="1:22" x14ac:dyDescent="0.2">
      <c r="A63" s="37">
        <v>62</v>
      </c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78" t="s">
        <v>7</v>
      </c>
      <c r="U63" s="78" t="s">
        <v>52</v>
      </c>
      <c r="V63" s="78" t="s">
        <v>89</v>
      </c>
    </row>
    <row r="64" spans="1:22" x14ac:dyDescent="0.2">
      <c r="A64" s="37">
        <v>63</v>
      </c>
    </row>
  </sheetData>
  <phoneticPr fontId="4" type="noConversion"/>
  <dataValidations disablePrompts="1" count="1">
    <dataValidation type="list" errorStyle="information" allowBlank="1" showInputMessage="1" showErrorMessage="1" errorTitle="Invalid" error="Operation is not listed" sqref="L53:L62 F53:F62 C53:C62 I53:I62 R53:R59 U53:U63" xr:uid="{B4492699-6CD2-EC4C-883E-E1CA6B5AEB88}">
      <formula1>$U$27:$U$40</formula1>
    </dataValidation>
  </dataValidations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xmlns="" id="ms-officescript%3A%2F%2Fonedrive_business_itemlink%2F012622D2XT7CIHOUZNR5DISLEO6WQNEKXQ:ms-officescript%3A%2F%2Fonedrive_business_sharinglink%2Fu!aHR0cHM6Ly9vMzY1Y29sb3JhZG9lZHUtbXkuc2hhcmVwb2ludC5jb20vOnU6L2cvcGVyc29uYWwvbW9qdTM1NzJfY29sb3JhZG9fZWR1L0lRRHotSkIzVXkyUFJva3NqdldnMGlyd0FkSXVQckhteGFpZW5nU21ERVoxaFdv"/>
  <scriptId xmlns="" id="ms-officescript%3A%2F%2Fonedrive_business_itemlink%2F012622D2SMHIAULIEIP5D2O3PLF3HD4IG6:ms-officescript%3A%2F%2Fonedrive_business_sharinglink%2Fu!aHR0cHM6Ly9vMzY1Y29sb3JhZG9lZHUtbXkuc2hhcmVwb2ludC5jb20vOnU6L2cvcGVyc29uYWwvbW9qdTM1NzJfY29sb3JhZG9fZWR1L0lRQk1PZ0ZGb0loX1I2ZHQ2eTdPUGlEZUFaaTZsMjljbGl1VC1helUxQXk5NjBz"/>
  <scriptId xmlns="" id="ms-officescript%3A%2F%2Fonedrive_business_itemlink%2F012622D2T36UWMTBOYABCLA6M3YOY2T66H:ms-officescript%3A%2F%2Fonedrive_business_sharinglink%2Fu!aHR0cHM6Ly9vMzY1Y29sb3JhZG9lZHUtbXkuc2hhcmVwb2ludC5jb20vOnU6L2cvcGVyc29uYWwvbW9qdTM1NzJfY29sb3JhZG9fZWR1L0lRQjc5U3pKaGRnQVJMQjVtOE94cWZ2SEFRZUgxYTAyQ2Q0UHk4VkZkc2ZfVWZv"/>
</scriptIds>
</file>

<file path=customXml/itemProps1.xml><?xml version="1.0" encoding="utf-8"?>
<ds:datastoreItem xmlns:ds="http://schemas.openxmlformats.org/officeDocument/2006/customXml" ds:itemID="{97DD8695-C27C-4B4C-9D50-F3DF37D05B44}">
  <ds:schemaRefs>
    <ds:schemaRef ds:uri="http://schemas.microsoft.com/office/extensibility/maker/v1.0"/>
    <ds:schemaRef ds:uri=""/>
  </ds:schemaRefs>
</ds:datastoreItem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185</vt:i4>
      </vt:variant>
    </vt:vector>
  </HeadingPairs>
  <TitlesOfParts>
    <vt:vector size="192" baseType="lpstr">
      <vt:lpstr>Architect</vt:lpstr>
      <vt:lpstr>Blueprint</vt:lpstr>
      <vt:lpstr>Blueprint_ep1</vt:lpstr>
      <vt:lpstr>Blueprint_inference</vt:lpstr>
      <vt:lpstr>Dashboard</vt:lpstr>
      <vt:lpstr>tinyDigits</vt:lpstr>
      <vt:lpstr>Helper</vt:lpstr>
      <vt:lpstr>Blueprint!code_layer_0</vt:lpstr>
      <vt:lpstr>Blueprint!code_layer_1</vt:lpstr>
      <vt:lpstr>Blueprint!code_layer_10</vt:lpstr>
      <vt:lpstr>Blueprint!code_layer_11</vt:lpstr>
      <vt:lpstr>Blueprint!code_layer_12</vt:lpstr>
      <vt:lpstr>Blueprint!code_layer_2</vt:lpstr>
      <vt:lpstr>Blueprint!code_layer_3</vt:lpstr>
      <vt:lpstr>Blueprint!code_layer_4</vt:lpstr>
      <vt:lpstr>Blueprint!code_layer_5</vt:lpstr>
      <vt:lpstr>Blueprint!code_layer_6</vt:lpstr>
      <vt:lpstr>Blueprint!code_layer_7</vt:lpstr>
      <vt:lpstr>Blueprint!code_layer_8</vt:lpstr>
      <vt:lpstr>Blueprint!code_layer_9</vt:lpstr>
      <vt:lpstr>Dashboard!dashboard_grad_summary</vt:lpstr>
      <vt:lpstr>Dashboard!dashboard_gradients</vt:lpstr>
      <vt:lpstr>Dashboard!dashboard_list</vt:lpstr>
      <vt:lpstr>Dashboard!dashboard_loss</vt:lpstr>
      <vt:lpstr>Dashboard!dashboard_weights</vt:lpstr>
      <vt:lpstr>Blueprint!dW_0</vt:lpstr>
      <vt:lpstr>Blueprint_ep1!dW_0</vt:lpstr>
      <vt:lpstr>Blueprint_inference!dW_0</vt:lpstr>
      <vt:lpstr>Blueprint!dW_3</vt:lpstr>
      <vt:lpstr>Blueprint_ep1!dW_3</vt:lpstr>
      <vt:lpstr>Blueprint_inference!dW_3</vt:lpstr>
      <vt:lpstr>Blueprint!dW_5</vt:lpstr>
      <vt:lpstr>Blueprint_ep1!dW_5</vt:lpstr>
      <vt:lpstr>Blueprint_inference!dW_5</vt:lpstr>
      <vt:lpstr>Blueprint!dW_9</vt:lpstr>
      <vt:lpstr>Blueprint_ep1!dW_9</vt:lpstr>
      <vt:lpstr>Blueprint_inference!dW_9</vt:lpstr>
      <vt:lpstr>Blueprint!erf_1</vt:lpstr>
      <vt:lpstr>Blueprint_ep1!erf_1</vt:lpstr>
      <vt:lpstr>Blueprint_inference!erf_1</vt:lpstr>
      <vt:lpstr>Blueprint!erf_10</vt:lpstr>
      <vt:lpstr>Blueprint_ep1!erf_10</vt:lpstr>
      <vt:lpstr>Blueprint_inference!erf_10</vt:lpstr>
      <vt:lpstr>Blueprint!erf_8</vt:lpstr>
      <vt:lpstr>Blueprint_ep1!erf_8</vt:lpstr>
      <vt:lpstr>Blueprint_inference!erf_8</vt:lpstr>
      <vt:lpstr>Blueprint!G_0</vt:lpstr>
      <vt:lpstr>Blueprint_ep1!G_0</vt:lpstr>
      <vt:lpstr>Blueprint_inference!G_0</vt:lpstr>
      <vt:lpstr>Blueprint!G_1</vt:lpstr>
      <vt:lpstr>Blueprint_ep1!G_1</vt:lpstr>
      <vt:lpstr>Blueprint_inference!G_1</vt:lpstr>
      <vt:lpstr>Blueprint!G_10</vt:lpstr>
      <vt:lpstr>Blueprint_ep1!G_10</vt:lpstr>
      <vt:lpstr>Blueprint_inference!G_10</vt:lpstr>
      <vt:lpstr>Blueprint!G_11</vt:lpstr>
      <vt:lpstr>Blueprint_ep1!G_11</vt:lpstr>
      <vt:lpstr>Blueprint_inference!G_11</vt:lpstr>
      <vt:lpstr>Blueprint!G_2</vt:lpstr>
      <vt:lpstr>Blueprint_ep1!G_2</vt:lpstr>
      <vt:lpstr>Blueprint_inference!G_2</vt:lpstr>
      <vt:lpstr>Blueprint!G_3</vt:lpstr>
      <vt:lpstr>Blueprint_ep1!G_3</vt:lpstr>
      <vt:lpstr>Blueprint_inference!G_3</vt:lpstr>
      <vt:lpstr>Blueprint!G_4</vt:lpstr>
      <vt:lpstr>Blueprint_ep1!G_4</vt:lpstr>
      <vt:lpstr>Blueprint_inference!G_4</vt:lpstr>
      <vt:lpstr>Blueprint!G_5</vt:lpstr>
      <vt:lpstr>Blueprint_ep1!G_5</vt:lpstr>
      <vt:lpstr>Blueprint_inference!G_5</vt:lpstr>
      <vt:lpstr>Blueprint!G_6</vt:lpstr>
      <vt:lpstr>Blueprint_ep1!G_6</vt:lpstr>
      <vt:lpstr>Blueprint_inference!G_6</vt:lpstr>
      <vt:lpstr>Blueprint!G_7</vt:lpstr>
      <vt:lpstr>Blueprint_ep1!G_7</vt:lpstr>
      <vt:lpstr>Blueprint_inference!G_7</vt:lpstr>
      <vt:lpstr>Blueprint!G_8</vt:lpstr>
      <vt:lpstr>Blueprint_ep1!G_8</vt:lpstr>
      <vt:lpstr>Blueprint_inference!G_8</vt:lpstr>
      <vt:lpstr>Blueprint!G_9</vt:lpstr>
      <vt:lpstr>Blueprint_ep1!G_9</vt:lpstr>
      <vt:lpstr>Blueprint_inference!G_9</vt:lpstr>
      <vt:lpstr>Blueprint!L_12</vt:lpstr>
      <vt:lpstr>Blueprint_ep1!L_12</vt:lpstr>
      <vt:lpstr>Blueprint_inference!L_12</vt:lpstr>
      <vt:lpstr>Blueprint!lossfn</vt:lpstr>
      <vt:lpstr>Blueprint!LossMean</vt:lpstr>
      <vt:lpstr>Blueprint_ep1!LossMean</vt:lpstr>
      <vt:lpstr>Blueprint_inference!LossMean</vt:lpstr>
      <vt:lpstr>Blueprint!lrate</vt:lpstr>
      <vt:lpstr>Blueprint_ep1!lrate</vt:lpstr>
      <vt:lpstr>Blueprint_inference!lrate</vt:lpstr>
      <vt:lpstr>Blueprint!MaskGELU_1</vt:lpstr>
      <vt:lpstr>Blueprint_ep1!MaskGELU_1</vt:lpstr>
      <vt:lpstr>Blueprint_inference!MaskGELU_1</vt:lpstr>
      <vt:lpstr>Blueprint!MaskGELU_10</vt:lpstr>
      <vt:lpstr>Blueprint_ep1!MaskGELU_10</vt:lpstr>
      <vt:lpstr>Blueprint_inference!MaskGELU_10</vt:lpstr>
      <vt:lpstr>Blueprint!MaskGELU_8</vt:lpstr>
      <vt:lpstr>Blueprint_ep1!MaskGELU_8</vt:lpstr>
      <vt:lpstr>Blueprint_inference!MaskGELU_8</vt:lpstr>
      <vt:lpstr>Blueprint!MaskReLU_7</vt:lpstr>
      <vt:lpstr>Blueprint_ep1!MaskReLU_7</vt:lpstr>
      <vt:lpstr>Blueprint_inference!MaskReLU_7</vt:lpstr>
      <vt:lpstr>Blueprint!MaskTanh_2</vt:lpstr>
      <vt:lpstr>Blueprint_ep1!MaskTanh_2</vt:lpstr>
      <vt:lpstr>Blueprint_inference!MaskTanh_2</vt:lpstr>
      <vt:lpstr>Blueprint!MaskTanh_4</vt:lpstr>
      <vt:lpstr>Blueprint_ep1!MaskTanh_4</vt:lpstr>
      <vt:lpstr>Blueprint_inference!MaskTanh_4</vt:lpstr>
      <vt:lpstr>Blueprint!MaskTanh_6</vt:lpstr>
      <vt:lpstr>Blueprint_ep1!MaskTanh_6</vt:lpstr>
      <vt:lpstr>Blueprint_inference!MaskTanh_6</vt:lpstr>
      <vt:lpstr>Blueprint!newW_0</vt:lpstr>
      <vt:lpstr>Blueprint_ep1!newW_0</vt:lpstr>
      <vt:lpstr>Blueprint_inference!newW_0</vt:lpstr>
      <vt:lpstr>Blueprint!newW_3</vt:lpstr>
      <vt:lpstr>Blueprint_ep1!newW_3</vt:lpstr>
      <vt:lpstr>Blueprint_inference!newW_3</vt:lpstr>
      <vt:lpstr>Blueprint!newW_5</vt:lpstr>
      <vt:lpstr>Blueprint_ep1!newW_5</vt:lpstr>
      <vt:lpstr>Blueprint_inference!newW_5</vt:lpstr>
      <vt:lpstr>Blueprint!newW_9</vt:lpstr>
      <vt:lpstr>Blueprint_ep1!newW_9</vt:lpstr>
      <vt:lpstr>Blueprint_inference!newW_9</vt:lpstr>
      <vt:lpstr>Blueprint!ohe</vt:lpstr>
      <vt:lpstr>Blueprint_ep1!ohe</vt:lpstr>
      <vt:lpstr>Blueprint_inference!ohe</vt:lpstr>
      <vt:lpstr>Blueprint!sumGX_11</vt:lpstr>
      <vt:lpstr>Blueprint_ep1!sumGX_11</vt:lpstr>
      <vt:lpstr>Blueprint_inference!sumGX_11</vt:lpstr>
      <vt:lpstr>Blueprint!torchcode</vt:lpstr>
      <vt:lpstr>Blueprint!W_0</vt:lpstr>
      <vt:lpstr>Blueprint_ep1!W_0</vt:lpstr>
      <vt:lpstr>Blueprint_inference!W_0</vt:lpstr>
      <vt:lpstr>Blueprint!W_3</vt:lpstr>
      <vt:lpstr>Blueprint_ep1!W_3</vt:lpstr>
      <vt:lpstr>Blueprint_inference!W_3</vt:lpstr>
      <vt:lpstr>Blueprint!W_3T</vt:lpstr>
      <vt:lpstr>Blueprint_ep1!W_3T</vt:lpstr>
      <vt:lpstr>Blueprint_inference!W_3T</vt:lpstr>
      <vt:lpstr>Blueprint!W_5</vt:lpstr>
      <vt:lpstr>Blueprint_ep1!W_5</vt:lpstr>
      <vt:lpstr>Blueprint_inference!W_5</vt:lpstr>
      <vt:lpstr>Blueprint!W_5T</vt:lpstr>
      <vt:lpstr>Blueprint_ep1!W_5T</vt:lpstr>
      <vt:lpstr>Blueprint_inference!W_5T</vt:lpstr>
      <vt:lpstr>Blueprint!W_9</vt:lpstr>
      <vt:lpstr>Blueprint_ep1!W_9</vt:lpstr>
      <vt:lpstr>Blueprint_inference!W_9</vt:lpstr>
      <vt:lpstr>Blueprint!W_9T</vt:lpstr>
      <vt:lpstr>Blueprint_ep1!W_9T</vt:lpstr>
      <vt:lpstr>Blueprint_inference!W_9T</vt:lpstr>
      <vt:lpstr>Blueprint!X</vt:lpstr>
      <vt:lpstr>Blueprint_ep1!X</vt:lpstr>
      <vt:lpstr>Blueprint_inference!X</vt:lpstr>
      <vt:lpstr>Blueprint!X_0</vt:lpstr>
      <vt:lpstr>Blueprint_ep1!X_0</vt:lpstr>
      <vt:lpstr>Blueprint_inference!X_0</vt:lpstr>
      <vt:lpstr>Blueprint!X_1</vt:lpstr>
      <vt:lpstr>Blueprint_ep1!X_1</vt:lpstr>
      <vt:lpstr>Blueprint_inference!X_1</vt:lpstr>
      <vt:lpstr>Blueprint!X_10</vt:lpstr>
      <vt:lpstr>Blueprint_ep1!X_10</vt:lpstr>
      <vt:lpstr>Blueprint_inference!X_10</vt:lpstr>
      <vt:lpstr>Blueprint!X_11</vt:lpstr>
      <vt:lpstr>Blueprint_ep1!X_11</vt:lpstr>
      <vt:lpstr>Blueprint_inference!X_11</vt:lpstr>
      <vt:lpstr>Blueprint!X_2</vt:lpstr>
      <vt:lpstr>Blueprint_ep1!X_2</vt:lpstr>
      <vt:lpstr>Blueprint_inference!X_2</vt:lpstr>
      <vt:lpstr>Blueprint!X_3</vt:lpstr>
      <vt:lpstr>Blueprint_ep1!X_3</vt:lpstr>
      <vt:lpstr>Blueprint_inference!X_3</vt:lpstr>
      <vt:lpstr>Blueprint!X_4</vt:lpstr>
      <vt:lpstr>Blueprint_ep1!X_4</vt:lpstr>
      <vt:lpstr>Blueprint_inference!X_4</vt:lpstr>
      <vt:lpstr>Blueprint!X_5</vt:lpstr>
      <vt:lpstr>Blueprint_ep1!X_5</vt:lpstr>
      <vt:lpstr>Blueprint_inference!X_5</vt:lpstr>
      <vt:lpstr>Blueprint!X_6</vt:lpstr>
      <vt:lpstr>Blueprint_ep1!X_6</vt:lpstr>
      <vt:lpstr>Blueprint_inference!X_6</vt:lpstr>
      <vt:lpstr>Blueprint!X_7</vt:lpstr>
      <vt:lpstr>Blueprint_ep1!X_7</vt:lpstr>
      <vt:lpstr>Blueprint_inference!X_7</vt:lpstr>
      <vt:lpstr>Blueprint!X_8</vt:lpstr>
      <vt:lpstr>Blueprint_ep1!X_8</vt:lpstr>
      <vt:lpstr>Blueprint_inference!X_8</vt:lpstr>
      <vt:lpstr>Blueprint!X_9</vt:lpstr>
      <vt:lpstr>Blueprint_ep1!X_9</vt:lpstr>
      <vt:lpstr>Blueprint_inference!X_9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Mohammad Jubair</cp:lastModifiedBy>
  <cp:revision/>
  <cp:lastPrinted>2026-04-01T04:26:42Z</cp:lastPrinted>
  <dcterms:created xsi:type="dcterms:W3CDTF">2025-11-04T01:32:45Z</dcterms:created>
  <dcterms:modified xsi:type="dcterms:W3CDTF">2026-04-01T05:57:53Z</dcterms:modified>
  <cp:category/>
  <cp:contentStatus/>
</cp:coreProperties>
</file>